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78" firstSheet="0" activeTab="1" autoFilterDateGrouping="1"/>
  </bookViews>
  <sheets>
    <sheet name="①経費請求明細" sheetId="1" state="visible" r:id="rId1"/>
    <sheet name="②交通費請求明細" sheetId="2" state="visible" r:id="rId2"/>
    <sheet name="③海外経費精算用" sheetId="3" state="visible" r:id="rId3"/>
    <sheet name="請求時の注意" sheetId="4" state="visible" r:id="rId4"/>
  </sheets>
  <definedNames>
    <definedName name="_xlnm.Print_Area" localSheetId="0">'①経費請求明細'!$A$1:$L$48</definedName>
    <definedName name="_xlnm.Print_Area" localSheetId="3">'請求時の注意'!$A$1:$M$44</definedName>
  </definedNames>
  <calcPr calcId="191029" fullCalcOnLoad="1"/>
</workbook>
</file>

<file path=xl/styles.xml><?xml version="1.0" encoding="utf-8"?>
<styleSheet xmlns="http://schemas.openxmlformats.org/spreadsheetml/2006/main">
  <numFmts count="5">
    <numFmt numFmtId="164" formatCode="#,##0_ "/>
    <numFmt numFmtId="165" formatCode="#,##0;&quot;▲&quot;#,##0;#"/>
    <numFmt numFmtId="166" formatCode="#,##0_ ;[Red]\-#,##0\ "/>
    <numFmt numFmtId="167" formatCode="&quot;US$&quot;#,##0.00;\-&quot;US$&quot;#,##0.00"/>
    <numFmt numFmtId="168" formatCode="#,##0.00_ "/>
  </numFmts>
  <fonts count="44">
    <font>
      <name val="ＭＳ Ｐゴシック"/>
      <charset val="128"/>
      <family val="3"/>
      <sz val="11"/>
    </font>
    <font>
      <name val="ＭＳ Ｐゴシック"/>
      <charset val="128"/>
      <family val="3"/>
      <sz val="11"/>
    </font>
    <font>
      <name val="ＭＳ Ｐゴシック"/>
      <charset val="128"/>
      <family val="3"/>
      <sz val="6"/>
    </font>
    <font>
      <name val="Yu Gothic"/>
      <charset val="128"/>
      <family val="3"/>
      <color theme="0"/>
      <sz val="11"/>
      <scheme val="minor"/>
    </font>
    <font>
      <name val="Meiryo UI"/>
      <charset val="128"/>
      <family val="3"/>
      <sz val="11"/>
    </font>
    <font>
      <name val="Meiryo UI"/>
      <charset val="128"/>
      <family val="3"/>
      <sz val="22"/>
    </font>
    <font>
      <name val="Meiryo UI"/>
      <charset val="128"/>
      <family val="3"/>
      <sz val="20"/>
    </font>
    <font>
      <name val="Meiryo UI"/>
      <charset val="128"/>
      <family val="3"/>
      <sz val="9"/>
    </font>
    <font>
      <name val="Meiryo UI"/>
      <charset val="128"/>
      <family val="3"/>
      <sz val="12"/>
    </font>
    <font>
      <name val="Meiryo UI"/>
      <charset val="128"/>
      <family val="3"/>
      <sz val="10"/>
    </font>
    <font>
      <name val="Meiryo UI"/>
      <charset val="128"/>
      <family val="3"/>
      <b val="1"/>
      <sz val="16"/>
    </font>
    <font>
      <name val="Meiryo UI"/>
      <charset val="128"/>
      <family val="3"/>
      <b val="1"/>
      <sz val="11"/>
    </font>
    <font>
      <name val="Meiryo UI"/>
      <charset val="128"/>
      <family val="3"/>
      <color theme="0" tint="-0.3499862666707358"/>
      <sz val="14"/>
    </font>
    <font>
      <name val="Meiryo UI"/>
      <charset val="128"/>
      <family val="3"/>
      <sz val="15"/>
    </font>
    <font>
      <name val="ＭＳ Ｐゴシック"/>
      <charset val="128"/>
      <family val="3"/>
      <sz val="10"/>
    </font>
    <font>
      <name val="Meiryo UI"/>
      <charset val="128"/>
      <family val="3"/>
      <b val="1"/>
      <color indexed="10"/>
      <sz val="10"/>
    </font>
    <font>
      <name val="Meiryo UI"/>
      <charset val="128"/>
      <family val="3"/>
      <b val="1"/>
      <color indexed="10"/>
      <sz val="10"/>
      <u val="single"/>
    </font>
    <font>
      <name val="Meiryo UI"/>
      <charset val="128"/>
      <family val="3"/>
      <sz val="13"/>
    </font>
    <font>
      <name val="Meiryo UI"/>
      <charset val="128"/>
      <family val="3"/>
      <b val="1"/>
      <color rgb="FFFF0000"/>
      <sz val="10"/>
    </font>
    <font>
      <name val="Meiryo UI"/>
      <charset val="128"/>
      <family val="3"/>
      <b val="1"/>
      <sz val="14"/>
    </font>
    <font>
      <name val="Meiryo UI"/>
      <charset val="128"/>
      <family val="3"/>
      <color indexed="10"/>
      <sz val="12"/>
      <u val="single"/>
    </font>
    <font>
      <name val="Meiryo UI"/>
      <charset val="128"/>
      <family val="3"/>
      <b val="1"/>
      <sz val="12"/>
      <u val="single"/>
    </font>
    <font>
      <name val="Meiryo UI"/>
      <charset val="128"/>
      <family val="3"/>
      <b val="1"/>
      <sz val="12"/>
    </font>
    <font>
      <name val="Meiryo UI"/>
      <charset val="128"/>
      <family val="3"/>
      <sz val="12"/>
      <u val="single"/>
    </font>
    <font>
      <name val="Meiryo UI"/>
      <charset val="128"/>
      <family val="3"/>
      <b val="1"/>
      <color indexed="10"/>
      <sz val="12"/>
      <u val="single"/>
    </font>
    <font>
      <name val="MS P ゴシック"/>
      <charset val="128"/>
      <family val="3"/>
      <color indexed="81"/>
      <sz val="9"/>
    </font>
    <font>
      <name val="Meiryo UI"/>
      <charset val="128"/>
      <family val="3"/>
      <b val="1"/>
      <color rgb="FFFF0000"/>
      <sz val="12"/>
    </font>
    <font>
      <name val="Meiryo UI"/>
      <charset val="128"/>
      <family val="3"/>
      <color rgb="FFFF0000"/>
      <sz val="15"/>
    </font>
    <font>
      <name val="Meiryo UI"/>
      <charset val="128"/>
      <family val="3"/>
      <b val="1"/>
      <color rgb="FFFF0000"/>
      <sz val="16"/>
    </font>
    <font>
      <name val="ＭＳ Ｐゴシック"/>
      <charset val="128"/>
      <family val="3"/>
      <color theme="10"/>
      <sz val="11"/>
      <u val="single"/>
    </font>
    <font>
      <name val="Meiryo UI"/>
      <charset val="128"/>
      <family val="3"/>
      <b val="1"/>
      <color rgb="FFFF0000"/>
      <sz val="12"/>
      <u val="single"/>
    </font>
    <font>
      <name val="Meiryo UI"/>
      <charset val="128"/>
      <family val="3"/>
      <color rgb="FFFF0000"/>
      <sz val="12"/>
    </font>
    <font>
      <name val="Meiryo UI"/>
      <charset val="128"/>
      <family val="3"/>
      <color rgb="FFFF0000"/>
      <sz val="10"/>
    </font>
    <font>
      <name val="Meiryo UI"/>
      <charset val="128"/>
      <family val="3"/>
      <b val="1"/>
      <color rgb="FFFF0000"/>
      <sz val="11"/>
    </font>
    <font>
      <name val="Meiryo UI"/>
      <charset val="128"/>
      <family val="3"/>
      <color theme="9" tint="-0.499984740745262"/>
      <sz val="11"/>
    </font>
    <font>
      <name val="Meiryo UI"/>
      <charset val="128"/>
      <family val="3"/>
      <sz val="14"/>
    </font>
    <font>
      <name val="Meiryo UI"/>
      <charset val="128"/>
      <family val="3"/>
      <sz val="16"/>
    </font>
    <font>
      <name val="Meiryo UI"/>
      <charset val="128"/>
      <family val="3"/>
      <color rgb="FFFF0000"/>
      <sz val="11"/>
    </font>
    <font>
      <name val="Meiryo UI"/>
      <charset val="128"/>
      <family val="3"/>
      <sz val="8"/>
    </font>
    <font>
      <name val="MS P ゴシック"/>
      <charset val="128"/>
      <family val="3"/>
      <color rgb="FF000000"/>
      <sz val="9"/>
    </font>
    <font>
      <name val="ＭＳ Ｐゴシック"/>
      <charset val="128"/>
      <family val="3"/>
      <color rgb="FF000000"/>
      <sz val="9"/>
    </font>
    <font>
      <name val="ＭＳ Ｐゴシック"/>
      <charset val="128"/>
      <family val="2"/>
      <color rgb="FF000000"/>
      <sz val="9"/>
    </font>
    <font>
      <name val="MS P ゴシック"/>
      <color rgb="FF000000"/>
      <sz val="9"/>
    </font>
    <font>
      <name val="Meiryo UI"/>
      <charset val="128"/>
      <family val="2"/>
      <sz val="12"/>
    </font>
  </fonts>
  <fills count="5">
    <fill>
      <patternFill/>
    </fill>
    <fill>
      <patternFill patternType="gray125"/>
    </fill>
    <fill>
      <patternFill patternType="solid">
        <fgColor theme="8"/>
      </patternFill>
    </fill>
    <fill>
      <patternFill patternType="solid">
        <fgColor theme="0" tint="-0.1499984740745262"/>
        <bgColor indexed="64"/>
      </patternFill>
    </fill>
    <fill>
      <patternFill patternType="solid">
        <fgColor rgb="FFFFFF00"/>
        <bgColor indexed="64"/>
      </patternFill>
    </fill>
  </fills>
  <borders count="67">
    <border>
      <left/>
      <right/>
      <top/>
      <bottom/>
      <diagonal/>
    </border>
    <border>
      <left/>
      <right style="medium">
        <color theme="0" tint="-0.3499862666707358"/>
      </right>
      <top/>
      <bottom/>
      <diagonal/>
    </border>
    <border>
      <left/>
      <right style="medium">
        <color theme="1"/>
      </right>
      <top style="medium">
        <color theme="1"/>
      </top>
      <bottom style="thin">
        <color theme="1"/>
      </bottom>
      <diagonal/>
    </border>
    <border>
      <left/>
      <right style="medium">
        <color theme="1"/>
      </right>
      <top style="thin">
        <color theme="1"/>
      </top>
      <bottom style="thin">
        <color theme="1"/>
      </bottom>
      <diagonal/>
    </border>
    <border>
      <left/>
      <right style="medium">
        <color theme="1"/>
      </right>
      <top style="thin">
        <color theme="1"/>
      </top>
      <bottom style="medium">
        <color theme="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dashed">
        <color auto="1"/>
      </left>
      <right style="dashed">
        <color auto="1"/>
      </right>
      <top style="thin">
        <color auto="1"/>
      </top>
      <bottom style="thin">
        <color auto="1"/>
      </bottom>
      <diagonal/>
    </border>
    <border>
      <left style="dashed">
        <color auto="1"/>
      </left>
      <right style="dashed">
        <color auto="1"/>
      </right>
      <top style="thin">
        <color auto="1"/>
      </top>
      <bottom style="medium">
        <color auto="1"/>
      </bottom>
      <diagonal/>
    </border>
    <border>
      <left style="double">
        <color auto="1"/>
      </left>
      <right style="double">
        <color auto="1"/>
      </right>
      <top style="double">
        <color auto="1"/>
      </top>
      <bottom style="double">
        <color auto="1"/>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0" tint="-0.249946592608417"/>
      </left>
      <right/>
      <top/>
      <bottom/>
      <diagonal/>
    </border>
    <border>
      <left style="thin">
        <color auto="1"/>
      </left>
      <right/>
      <top style="medium">
        <color auto="1"/>
      </top>
      <bottom style="medium">
        <color auto="1"/>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top/>
      <bottom/>
      <diagonal/>
    </border>
    <border>
      <left style="medium">
        <color auto="1"/>
      </left>
      <right/>
      <top style="medium">
        <color auto="1"/>
      </top>
      <bottom/>
      <diagonal/>
    </border>
    <border>
      <left/>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thin">
        <color auto="1"/>
      </bottom>
      <diagonal/>
    </border>
    <border>
      <left style="dashed">
        <color auto="1"/>
      </left>
      <right style="dashed">
        <color auto="1"/>
      </right>
      <top style="medium">
        <color auto="1"/>
      </top>
      <bottom/>
      <diagonal/>
    </border>
    <border>
      <left/>
      <right style="thin">
        <color auto="1"/>
      </right>
      <top style="medium">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right/>
      <top style="medium">
        <color auto="1"/>
      </top>
      <bottom style="medium">
        <color auto="1"/>
      </bottom>
      <diagonal/>
    </border>
    <border>
      <left/>
      <right style="medium">
        <color auto="1"/>
      </right>
      <top style="thin">
        <color auto="1"/>
      </top>
      <bottom/>
      <diagonal/>
    </border>
    <border>
      <left/>
      <right style="medium">
        <color auto="1"/>
      </right>
      <top style="medium">
        <color auto="1"/>
      </top>
      <bottom/>
      <diagonal/>
    </border>
  </borders>
  <cellStyleXfs count="4">
    <xf numFmtId="0" fontId="1" fillId="0" borderId="0"/>
    <xf numFmtId="0" fontId="3" fillId="2" borderId="0" applyAlignment="1">
      <alignment vertical="center"/>
    </xf>
    <xf numFmtId="38" fontId="1" fillId="0" borderId="0"/>
    <xf numFmtId="0" fontId="29" fillId="0" borderId="0"/>
  </cellStyleXfs>
  <cellXfs count="329">
    <xf numFmtId="0" fontId="0" fillId="0" borderId="0" pivotButton="0" quotePrefix="0" xfId="0"/>
    <xf numFmtId="0" fontId="6" fillId="0" borderId="0" applyAlignment="1" pivotButton="0" quotePrefix="0" xfId="1">
      <alignment vertical="center"/>
    </xf>
    <xf numFmtId="0" fontId="4" fillId="0" borderId="0" applyAlignment="1" pivotButton="0" quotePrefix="0" xfId="0">
      <alignment vertical="center"/>
    </xf>
    <xf numFmtId="164" fontId="4" fillId="0" borderId="0" applyAlignment="1" pivotButton="0" quotePrefix="0" xfId="0">
      <alignment vertical="center" shrinkToFit="1"/>
    </xf>
    <xf numFmtId="164" fontId="11" fillId="0" borderId="0" applyAlignment="1" pivotButton="0" quotePrefix="0" xfId="0">
      <alignment vertical="center" shrinkToFit="1"/>
    </xf>
    <xf numFmtId="0" fontId="19" fillId="0" borderId="0" applyAlignment="1" pivotButton="0" quotePrefix="0" xfId="0">
      <alignment vertical="center"/>
    </xf>
    <xf numFmtId="49" fontId="11" fillId="0" borderId="0" applyAlignment="1" pivotButton="0" quotePrefix="0" xfId="0">
      <alignment vertical="center"/>
    </xf>
    <xf numFmtId="0" fontId="8" fillId="0" borderId="0" applyAlignment="1" pivotButton="0" quotePrefix="0" xfId="0">
      <alignment vertical="center"/>
    </xf>
    <xf numFmtId="0" fontId="20" fillId="0" borderId="0" applyAlignment="1" pivotButton="0" quotePrefix="0" xfId="0">
      <alignment vertical="center"/>
    </xf>
    <xf numFmtId="0" fontId="24" fillId="0" borderId="0" applyAlignment="1" pivotButton="0" quotePrefix="0" xfId="0">
      <alignment vertical="center"/>
    </xf>
    <xf numFmtId="49" fontId="4" fillId="0" borderId="0" applyAlignment="1" pivotButton="0" quotePrefix="0" xfId="0">
      <alignment vertical="center"/>
    </xf>
    <xf numFmtId="0" fontId="4" fillId="0" borderId="0" applyAlignment="1" pivotButton="0" quotePrefix="0" xfId="0">
      <alignment horizontal="right" vertical="center"/>
    </xf>
    <xf numFmtId="0" fontId="4" fillId="0" borderId="0" applyAlignment="1" pivotButton="0" quotePrefix="0" xfId="0">
      <alignment horizontal="left" vertical="center"/>
    </xf>
    <xf numFmtId="49" fontId="8" fillId="0" borderId="13" applyAlignment="1" applyProtection="1" pivotButton="0" quotePrefix="0" xfId="0">
      <alignment vertical="center" shrinkToFit="1"/>
      <protection locked="0" hidden="0"/>
    </xf>
    <xf numFmtId="14" fontId="4" fillId="0" borderId="12" applyAlignment="1" applyProtection="1" pivotButton="0" quotePrefix="0" xfId="0">
      <alignment vertical="center" shrinkToFit="1"/>
      <protection locked="0" hidden="0"/>
    </xf>
    <xf numFmtId="49" fontId="4" fillId="0" borderId="14" applyAlignment="1" applyProtection="1" pivotButton="0" quotePrefix="0" xfId="0">
      <alignment vertical="center" shrinkToFit="1"/>
      <protection locked="0" hidden="0"/>
    </xf>
    <xf numFmtId="14" fontId="4" fillId="0" borderId="10" applyAlignment="1" applyProtection="1" pivotButton="0" quotePrefix="0" xfId="0">
      <alignment vertical="center" shrinkToFit="1"/>
      <protection locked="0" hidden="0"/>
    </xf>
    <xf numFmtId="49" fontId="4" fillId="0" borderId="11" applyAlignment="1" applyProtection="1" pivotButton="0" quotePrefix="0" xfId="0">
      <alignment vertical="center" shrinkToFit="1"/>
      <protection locked="0" hidden="0"/>
    </xf>
    <xf numFmtId="0" fontId="4" fillId="0" borderId="10" applyAlignment="1" applyProtection="1" pivotButton="0" quotePrefix="0" xfId="0">
      <alignment vertical="center" shrinkToFit="1"/>
      <protection locked="0" hidden="0"/>
    </xf>
    <xf numFmtId="0" fontId="4" fillId="0" borderId="16" applyAlignment="1" applyProtection="1" pivotButton="0" quotePrefix="0" xfId="0">
      <alignment vertical="center" shrinkToFit="1"/>
      <protection locked="0" hidden="0"/>
    </xf>
    <xf numFmtId="49" fontId="4" fillId="0" borderId="18" applyAlignment="1" applyProtection="1" pivotButton="0" quotePrefix="0" xfId="0">
      <alignment vertical="center" shrinkToFit="1"/>
      <protection locked="0" hidden="0"/>
    </xf>
    <xf numFmtId="49" fontId="4" fillId="0" borderId="5" applyAlignment="1" pivotButton="0" quotePrefix="0" xfId="0">
      <alignment vertical="center"/>
    </xf>
    <xf numFmtId="0" fontId="5" fillId="0" borderId="0" applyAlignment="1" pivotButton="0" quotePrefix="0" xfId="1">
      <alignment vertical="distributed" shrinkToFit="1"/>
    </xf>
    <xf numFmtId="49" fontId="4" fillId="0" borderId="0" applyAlignment="1" pivotButton="0" quotePrefix="0" xfId="0">
      <alignment horizontal="right" vertical="center" indent="1"/>
    </xf>
    <xf numFmtId="14" fontId="4" fillId="0" borderId="0" applyAlignment="1" pivotButton="0" quotePrefix="0" xfId="0">
      <alignment vertical="center" wrapText="1"/>
    </xf>
    <xf numFmtId="0" fontId="4" fillId="0" borderId="5" applyAlignment="1" pivotButton="0" quotePrefix="0" xfId="0">
      <alignment vertical="center"/>
    </xf>
    <xf numFmtId="0" fontId="4" fillId="0" borderId="0" applyAlignment="1" pivotButton="0" quotePrefix="0" xfId="0">
      <alignment vertical="center" shrinkToFit="1"/>
    </xf>
    <xf numFmtId="0" fontId="4" fillId="0" borderId="0" applyAlignment="1" pivotButton="0" quotePrefix="0" xfId="0">
      <alignment horizontal="center" vertical="center" shrinkToFit="1"/>
    </xf>
    <xf numFmtId="0" fontId="4" fillId="0" borderId="0" applyAlignment="1" pivotButton="0" quotePrefix="0" xfId="2">
      <alignment vertical="center" shrinkToFit="1"/>
    </xf>
    <xf numFmtId="165" fontId="11" fillId="0" borderId="0" applyAlignment="1" pivotButton="0" quotePrefix="0" xfId="0">
      <alignment vertical="center" shrinkToFit="1"/>
    </xf>
    <xf numFmtId="165" fontId="11" fillId="0" borderId="0" applyAlignment="1" pivotButton="0" quotePrefix="0" xfId="0">
      <alignment vertical="center"/>
    </xf>
    <xf numFmtId="164" fontId="4" fillId="0" borderId="0" applyAlignment="1" pivotButton="0" quotePrefix="0" xfId="0">
      <alignment horizontal="center" vertical="center" shrinkToFit="1"/>
    </xf>
    <xf numFmtId="165" fontId="12" fillId="0" borderId="0" applyAlignment="1" pivotButton="0" quotePrefix="0" xfId="0">
      <alignment vertical="center"/>
    </xf>
    <xf numFmtId="0" fontId="7" fillId="0" borderId="0" applyAlignment="1" pivotButton="0" quotePrefix="0" xfId="0">
      <alignment vertical="center"/>
    </xf>
    <xf numFmtId="0" fontId="9" fillId="0" borderId="0" applyAlignment="1" pivotButton="0" quotePrefix="0" xfId="1">
      <alignment horizontal="right" vertical="distributed" shrinkToFit="1"/>
    </xf>
    <xf numFmtId="0" fontId="4" fillId="0" borderId="1" applyAlignment="1" pivotButton="0" quotePrefix="0" xfId="0">
      <alignment vertical="center"/>
    </xf>
    <xf numFmtId="0" fontId="9" fillId="3" borderId="35" applyAlignment="1" pivotButton="0" quotePrefix="0" xfId="1">
      <alignment vertical="distributed" shrinkToFit="1"/>
    </xf>
    <xf numFmtId="0" fontId="9" fillId="3" borderId="36" applyAlignment="1" pivotButton="0" quotePrefix="0" xfId="0">
      <alignment vertical="center"/>
    </xf>
    <xf numFmtId="0" fontId="9" fillId="3" borderId="37" applyAlignment="1" pivotButton="0" quotePrefix="0" xfId="0">
      <alignment vertical="center"/>
    </xf>
    <xf numFmtId="0" fontId="11" fillId="3" borderId="6" applyAlignment="1" pivotButton="0" quotePrefix="0" xfId="0">
      <alignment horizontal="center" vertical="center"/>
    </xf>
    <xf numFmtId="0" fontId="4" fillId="3" borderId="10" applyAlignment="1" pivotButton="0" quotePrefix="0" xfId="0">
      <alignment horizontal="center" vertical="center"/>
    </xf>
    <xf numFmtId="0" fontId="4" fillId="3" borderId="8" applyAlignment="1" pivotButton="0" quotePrefix="0" xfId="0">
      <alignment horizontal="center" vertical="center"/>
    </xf>
    <xf numFmtId="0" fontId="4" fillId="3" borderId="19" applyAlignment="1" pivotButton="0" quotePrefix="0" xfId="0">
      <alignment horizontal="center" vertical="center"/>
    </xf>
    <xf numFmtId="0" fontId="4" fillId="3" borderId="21" applyAlignment="1" pivotButton="0" quotePrefix="0" xfId="0">
      <alignment horizontal="center" vertical="center"/>
    </xf>
    <xf numFmtId="0" fontId="4" fillId="3" borderId="12" applyAlignment="1" pivotButton="0" quotePrefix="0" xfId="2">
      <alignment horizontal="center" vertical="center" shrinkToFit="1"/>
    </xf>
    <xf numFmtId="0" fontId="4" fillId="3" borderId="16" applyAlignment="1" pivotButton="0" quotePrefix="0" xfId="2">
      <alignment horizontal="center" vertical="center" shrinkToFit="1"/>
    </xf>
    <xf numFmtId="0" fontId="9" fillId="3" borderId="12" applyAlignment="1" pivotButton="0" quotePrefix="0" xfId="1">
      <alignment vertical="distributed" shrinkToFit="1"/>
    </xf>
    <xf numFmtId="0" fontId="9" fillId="3" borderId="10" applyAlignment="1" pivotButton="0" quotePrefix="0" xfId="0">
      <alignment vertical="center"/>
    </xf>
    <xf numFmtId="0" fontId="9" fillId="3" borderId="16" applyAlignment="1" pivotButton="0" quotePrefix="0" xfId="0">
      <alignment vertical="center"/>
    </xf>
    <xf numFmtId="0" fontId="11" fillId="3" borderId="12" applyAlignment="1" pivotButton="0" quotePrefix="0" xfId="0">
      <alignment horizontal="center" vertical="center"/>
    </xf>
    <xf numFmtId="0" fontId="4" fillId="3" borderId="16" applyAlignment="1" pivotButton="0" quotePrefix="0" xfId="0">
      <alignment horizontal="center" vertical="center"/>
    </xf>
    <xf numFmtId="0" fontId="11" fillId="3" borderId="19" applyAlignment="1" pivotButton="0" quotePrefix="0" xfId="2">
      <alignment horizontal="center" vertical="center" shrinkToFit="1"/>
    </xf>
    <xf numFmtId="0" fontId="11" fillId="3" borderId="12" applyAlignment="1" pivotButton="0" quotePrefix="0" xfId="0">
      <alignment horizontal="center" vertical="center" wrapText="1"/>
    </xf>
    <xf numFmtId="0" fontId="4" fillId="3" borderId="10" applyAlignment="1" pivotButton="0" quotePrefix="0" xfId="0">
      <alignment horizontal="center" vertical="center" shrinkToFit="1"/>
    </xf>
    <xf numFmtId="0" fontId="4" fillId="3" borderId="21" applyAlignment="1" pivotButton="0" quotePrefix="0" xfId="0">
      <alignment horizontal="center" vertical="center" wrapText="1"/>
    </xf>
    <xf numFmtId="38" fontId="4" fillId="0" borderId="15" applyAlignment="1" applyProtection="1" pivotButton="0" quotePrefix="0" xfId="2">
      <alignment horizontal="center" vertical="center" shrinkToFit="1"/>
      <protection locked="0" hidden="0"/>
    </xf>
    <xf numFmtId="38" fontId="4" fillId="0" borderId="17" applyAlignment="1" applyProtection="1" pivotButton="0" quotePrefix="0" xfId="2">
      <alignment horizontal="center" vertical="center" shrinkToFit="1"/>
      <protection locked="0" hidden="0"/>
    </xf>
    <xf numFmtId="49" fontId="4" fillId="0" borderId="0" applyAlignment="1" pivotButton="0" quotePrefix="0" xfId="0">
      <alignment horizontal="center" vertical="center" shrinkToFit="1"/>
    </xf>
    <xf numFmtId="49" fontId="4" fillId="3" borderId="13" applyAlignment="1" pivotButton="0" quotePrefix="0" xfId="0">
      <alignment vertical="center" shrinkToFit="1"/>
    </xf>
    <xf numFmtId="0" fontId="9" fillId="0" borderId="0" applyAlignment="1" pivotButton="0" quotePrefix="0" xfId="0">
      <alignment horizontal="left" vertical="center"/>
    </xf>
    <xf numFmtId="49" fontId="4" fillId="0" borderId="0" applyAlignment="1" pivotButton="0" quotePrefix="0" xfId="0">
      <alignment horizontal="center" vertical="center"/>
    </xf>
    <xf numFmtId="49" fontId="9" fillId="0" borderId="0" applyAlignment="1" pivotButton="0" quotePrefix="0" xfId="0">
      <alignment vertical="center" shrinkToFit="1"/>
    </xf>
    <xf numFmtId="0" fontId="15" fillId="0" borderId="0" applyAlignment="1" pivotButton="0" quotePrefix="0" xfId="0">
      <alignment vertical="center"/>
    </xf>
    <xf numFmtId="0" fontId="9" fillId="0" borderId="0" applyAlignment="1" pivotButton="0" quotePrefix="0" xfId="0">
      <alignment vertical="top" wrapText="1" shrinkToFit="1"/>
    </xf>
    <xf numFmtId="0" fontId="9" fillId="0" borderId="0" applyAlignment="1" pivotButton="0" quotePrefix="0" xfId="0">
      <alignment vertical="center"/>
    </xf>
    <xf numFmtId="9" fontId="4" fillId="0" borderId="0" applyAlignment="1" pivotButton="0" quotePrefix="0" xfId="0">
      <alignment horizontal="right" vertical="center" shrinkToFit="1" indent="1"/>
    </xf>
    <xf numFmtId="0" fontId="32" fillId="0" borderId="0" applyAlignment="1" pivotButton="0" quotePrefix="0" xfId="0">
      <alignment vertical="center"/>
    </xf>
    <xf numFmtId="0" fontId="32" fillId="0" borderId="0" applyAlignment="1" pivotButton="0" quotePrefix="0" xfId="0">
      <alignment horizontal="left" vertical="center" indent="1"/>
    </xf>
    <xf numFmtId="0" fontId="8" fillId="4" borderId="0" applyAlignment="1" pivotButton="0" quotePrefix="0" xfId="0">
      <alignment vertical="center"/>
    </xf>
    <xf numFmtId="0" fontId="4" fillId="4" borderId="0" applyAlignment="1" pivotButton="0" quotePrefix="0" xfId="0">
      <alignment vertical="center"/>
    </xf>
    <xf numFmtId="0" fontId="34" fillId="4" borderId="0" applyAlignment="1" pivotButton="0" quotePrefix="0" xfId="0">
      <alignment vertical="center"/>
    </xf>
    <xf numFmtId="0" fontId="34" fillId="0" borderId="0" applyAlignment="1" pivotButton="0" quotePrefix="0" xfId="0">
      <alignment vertical="center"/>
    </xf>
    <xf numFmtId="0" fontId="4" fillId="3" borderId="20" applyAlignment="1" pivotButton="0" quotePrefix="0" xfId="0">
      <alignment horizontal="center" vertical="center"/>
    </xf>
    <xf numFmtId="0" fontId="6" fillId="0" borderId="0" applyAlignment="1" pivotButton="0" quotePrefix="0" xfId="1">
      <alignment vertical="center" shrinkToFit="1"/>
    </xf>
    <xf numFmtId="164" fontId="7" fillId="0" borderId="0" applyAlignment="1" pivotButton="0" quotePrefix="0" xfId="1">
      <alignment vertical="center" shrinkToFit="1"/>
    </xf>
    <xf numFmtId="49" fontId="9" fillId="0" borderId="0" applyAlignment="1" pivotButton="0" quotePrefix="0" xfId="0">
      <alignment vertical="center"/>
    </xf>
    <xf numFmtId="166" fontId="10" fillId="0" borderId="7" applyAlignment="1" pivotButton="0" quotePrefix="0" xfId="0">
      <alignment vertical="center" shrinkToFit="1"/>
    </xf>
    <xf numFmtId="0" fontId="14" fillId="0" borderId="0" applyAlignment="1" pivotButton="0" quotePrefix="0" xfId="0">
      <alignment vertical="center"/>
    </xf>
    <xf numFmtId="0" fontId="29" fillId="0" borderId="0" applyAlignment="1" pivotButton="0" quotePrefix="0" xfId="3">
      <alignment vertical="center"/>
    </xf>
    <xf numFmtId="49" fontId="9" fillId="3" borderId="10" applyAlignment="1" pivotButton="0" quotePrefix="0" xfId="0">
      <alignment horizontal="center" vertical="center" wrapText="1" shrinkToFit="1"/>
    </xf>
    <xf numFmtId="49" fontId="4" fillId="3" borderId="16" applyAlignment="1" pivotButton="0" quotePrefix="0" xfId="0">
      <alignment horizontal="center" vertical="center" wrapText="1" shrinkToFit="1"/>
    </xf>
    <xf numFmtId="49" fontId="4" fillId="3" borderId="12" applyAlignment="1" pivotButton="0" quotePrefix="0" xfId="0">
      <alignment horizontal="center" vertical="center" shrinkToFit="1"/>
    </xf>
    <xf numFmtId="0" fontId="35" fillId="0" borderId="15" applyAlignment="1" applyProtection="1" pivotButton="0" quotePrefix="0" xfId="0">
      <alignment horizontal="center" vertical="center"/>
      <protection locked="0" hidden="0"/>
    </xf>
    <xf numFmtId="0" fontId="4" fillId="0" borderId="4" applyAlignment="1" applyProtection="1" pivotButton="0" quotePrefix="0" xfId="0">
      <alignment vertical="center" wrapText="1"/>
      <protection locked="0" hidden="0"/>
    </xf>
    <xf numFmtId="0" fontId="8" fillId="0" borderId="13" applyAlignment="1" applyProtection="1" pivotButton="0" quotePrefix="0" xfId="0">
      <alignment vertical="center" wrapText="1"/>
      <protection locked="0" hidden="0"/>
    </xf>
    <xf numFmtId="0" fontId="8" fillId="0" borderId="15" applyAlignment="1" applyProtection="1" pivotButton="0" quotePrefix="0" xfId="0">
      <alignment vertical="center" wrapText="1"/>
      <protection locked="0" hidden="0"/>
    </xf>
    <xf numFmtId="0" fontId="8" fillId="0" borderId="17" applyAlignment="1" applyProtection="1" pivotButton="0" quotePrefix="0" xfId="0">
      <alignment vertical="center" wrapText="1"/>
      <protection locked="0" hidden="0"/>
    </xf>
    <xf numFmtId="0" fontId="35" fillId="0" borderId="0" applyAlignment="1" pivotButton="0" quotePrefix="0" xfId="2">
      <alignment horizontal="right" vertical="center" shrinkToFit="1"/>
    </xf>
    <xf numFmtId="165" fontId="19" fillId="0" borderId="0" applyAlignment="1" pivotButton="0" quotePrefix="0" xfId="0">
      <alignment horizontal="right" vertical="center" shrinkToFit="1"/>
    </xf>
    <xf numFmtId="38" fontId="36" fillId="0" borderId="9" applyAlignment="1" applyProtection="1" pivotButton="0" quotePrefix="0" xfId="0">
      <alignment vertical="center"/>
      <protection locked="0" hidden="0"/>
    </xf>
    <xf numFmtId="38" fontId="35" fillId="0" borderId="11" applyAlignment="1" pivotButton="0" quotePrefix="0" xfId="0">
      <alignment vertical="center"/>
    </xf>
    <xf numFmtId="14" fontId="7" fillId="0" borderId="5" applyAlignment="1" applyProtection="1" pivotButton="0" quotePrefix="0" xfId="0">
      <alignment horizontal="center" vertical="center" shrinkToFit="1"/>
      <protection locked="0" hidden="0"/>
    </xf>
    <xf numFmtId="0" fontId="4" fillId="0" borderId="0" applyAlignment="1" pivotButton="0" quotePrefix="0" xfId="0">
      <alignment horizontal="center" vertical="center"/>
    </xf>
    <xf numFmtId="49" fontId="4" fillId="0" borderId="0" applyAlignment="1" applyProtection="1" pivotButton="0" quotePrefix="0" xfId="0">
      <alignment horizontal="center" vertical="center" shrinkToFit="1"/>
      <protection locked="0" hidden="0"/>
    </xf>
    <xf numFmtId="38" fontId="10" fillId="0" borderId="0" applyAlignment="1" pivotButton="0" quotePrefix="0" xfId="0">
      <alignment horizontal="right" vertical="center" shrinkToFit="1" indent="1"/>
    </xf>
    <xf numFmtId="38" fontId="4" fillId="0" borderId="0" applyAlignment="1" pivotButton="0" quotePrefix="0" xfId="0">
      <alignment vertical="center"/>
    </xf>
    <xf numFmtId="49" fontId="4" fillId="0" borderId="0" applyAlignment="1" applyProtection="1" pivotButton="0" quotePrefix="0" xfId="0">
      <alignment horizontal="center" vertical="center"/>
      <protection locked="0" hidden="0"/>
    </xf>
    <xf numFmtId="49" fontId="9" fillId="0" borderId="0" applyAlignment="1" applyProtection="1" pivotButton="0" quotePrefix="0" xfId="0">
      <alignment vertical="center" shrinkToFit="1"/>
      <protection locked="0" hidden="0"/>
    </xf>
    <xf numFmtId="0" fontId="4" fillId="0" borderId="13" applyAlignment="1" applyProtection="1" pivotButton="0" quotePrefix="0" xfId="0">
      <alignment vertical="center" shrinkToFit="1"/>
      <protection locked="0" hidden="0"/>
    </xf>
    <xf numFmtId="38" fontId="4" fillId="0" borderId="14" applyAlignment="1" applyProtection="1" pivotButton="0" quotePrefix="0" xfId="2">
      <alignment horizontal="center" vertical="center" shrinkToFit="1"/>
      <protection locked="0" hidden="0"/>
    </xf>
    <xf numFmtId="0" fontId="4" fillId="0" borderId="15" applyAlignment="1" applyProtection="1" pivotButton="0" quotePrefix="0" xfId="0">
      <alignment vertical="center" shrinkToFit="1"/>
      <protection locked="0" hidden="0"/>
    </xf>
    <xf numFmtId="0" fontId="4" fillId="0" borderId="23" applyAlignment="1" applyProtection="1" pivotButton="0" quotePrefix="0" xfId="0">
      <alignment vertical="center" shrinkToFit="1"/>
      <protection locked="0" hidden="0"/>
    </xf>
    <xf numFmtId="0" fontId="4" fillId="0" borderId="28" applyAlignment="1" applyProtection="1" pivotButton="0" quotePrefix="0" xfId="0">
      <alignment vertical="center" shrinkToFit="1"/>
      <protection locked="0" hidden="0"/>
    </xf>
    <xf numFmtId="0" fontId="4" fillId="0" borderId="26" applyAlignment="1" applyProtection="1" pivotButton="0" quotePrefix="0" xfId="0">
      <alignment vertical="center" shrinkToFit="1"/>
      <protection locked="0" hidden="0"/>
    </xf>
    <xf numFmtId="38" fontId="4" fillId="0" borderId="11" applyAlignment="1" applyProtection="1" pivotButton="0" quotePrefix="0" xfId="2">
      <alignment horizontal="center" vertical="center" shrinkToFit="1"/>
      <protection locked="0" hidden="0"/>
    </xf>
    <xf numFmtId="164" fontId="7" fillId="0" borderId="0" applyAlignment="1" pivotButton="0" quotePrefix="0" xfId="1">
      <alignment vertical="center"/>
    </xf>
    <xf numFmtId="0" fontId="4" fillId="0" borderId="17" applyAlignment="1" applyProtection="1" pivotButton="0" quotePrefix="0" xfId="0">
      <alignment vertical="center" shrinkToFit="1"/>
      <protection locked="0" hidden="0"/>
    </xf>
    <xf numFmtId="0" fontId="4" fillId="0" borderId="24" applyAlignment="1" applyProtection="1" pivotButton="0" quotePrefix="0" xfId="0">
      <alignment vertical="center" shrinkToFit="1"/>
      <protection locked="0" hidden="0"/>
    </xf>
    <xf numFmtId="0" fontId="4" fillId="0" borderId="29" applyAlignment="1" applyProtection="1" pivotButton="0" quotePrefix="0" xfId="0">
      <alignment vertical="center" shrinkToFit="1"/>
      <protection locked="0" hidden="0"/>
    </xf>
    <xf numFmtId="0" fontId="4" fillId="0" borderId="27" applyAlignment="1" applyProtection="1" pivotButton="0" quotePrefix="0" xfId="0">
      <alignment vertical="center" shrinkToFit="1"/>
      <protection locked="0" hidden="0"/>
    </xf>
    <xf numFmtId="38" fontId="4" fillId="0" borderId="18" applyAlignment="1" applyProtection="1" pivotButton="0" quotePrefix="0" xfId="2">
      <alignment horizontal="center" vertical="center" shrinkToFit="1"/>
      <protection locked="0" hidden="0"/>
    </xf>
    <xf numFmtId="0" fontId="4" fillId="0" borderId="0" applyAlignment="1" pivotButton="0" quotePrefix="0" xfId="2">
      <alignment vertical="center" shrinkToFit="1"/>
    </xf>
    <xf numFmtId="0" fontId="9" fillId="0" borderId="0" applyAlignment="1" applyProtection="1" pivotButton="0" quotePrefix="0" xfId="0">
      <alignment vertical="top" wrapText="1" shrinkToFit="1"/>
      <protection locked="0" hidden="0"/>
    </xf>
    <xf numFmtId="9" fontId="4" fillId="0" borderId="0" applyAlignment="1" applyProtection="1" pivotButton="0" quotePrefix="0" xfId="0">
      <alignment horizontal="right" vertical="center" shrinkToFit="1" indent="1"/>
      <protection locked="0" hidden="0"/>
    </xf>
    <xf numFmtId="0" fontId="29" fillId="0" borderId="0" applyAlignment="1" pivotButton="0" quotePrefix="0" xfId="3">
      <alignment vertical="center"/>
    </xf>
    <xf numFmtId="0" fontId="11" fillId="0" borderId="0" applyAlignment="1" pivotButton="0" quotePrefix="0" xfId="0">
      <alignment vertical="center"/>
    </xf>
    <xf numFmtId="167" fontId="4" fillId="0" borderId="23" applyAlignment="1" pivotButton="0" quotePrefix="0" xfId="0">
      <alignment horizontal="right" vertical="center"/>
    </xf>
    <xf numFmtId="49" fontId="9" fillId="0" borderId="0" applyAlignment="1" applyProtection="1" pivotButton="0" quotePrefix="0" xfId="0">
      <alignment horizontal="center" vertical="center" shrinkToFit="1"/>
      <protection locked="0" hidden="0"/>
    </xf>
    <xf numFmtId="49" fontId="9" fillId="0" borderId="38" applyAlignment="1" applyProtection="1" pivotButton="0" quotePrefix="0" xfId="0">
      <alignment vertical="center" shrinkToFit="1"/>
      <protection locked="0" hidden="0"/>
    </xf>
    <xf numFmtId="0" fontId="6" fillId="0" borderId="0" applyAlignment="1" pivotButton="0" quotePrefix="0" xfId="1">
      <alignment vertical="center"/>
    </xf>
    <xf numFmtId="0" fontId="4" fillId="0" borderId="12" applyAlignment="1" applyProtection="1" pivotButton="0" quotePrefix="0" xfId="0">
      <alignment vertical="center" shrinkToFit="1"/>
      <protection locked="0" hidden="0"/>
    </xf>
    <xf numFmtId="0" fontId="9" fillId="0" borderId="0" applyAlignment="1" pivotButton="0" quotePrefix="0" xfId="0">
      <alignment horizontal="center" vertical="center"/>
    </xf>
    <xf numFmtId="166" fontId="28" fillId="0" borderId="0" applyAlignment="1" pivotButton="0" quotePrefix="0" xfId="0">
      <alignment horizontal="center" vertical="center" shrinkToFit="1"/>
    </xf>
    <xf numFmtId="38" fontId="17" fillId="0" borderId="0" applyAlignment="1" pivotButton="0" quotePrefix="0" xfId="0">
      <alignment horizontal="center" vertical="center"/>
    </xf>
    <xf numFmtId="164" fontId="17" fillId="0" borderId="0" applyAlignment="1" pivotButton="0" quotePrefix="0" xfId="0">
      <alignment horizontal="center" vertical="center"/>
    </xf>
    <xf numFmtId="49" fontId="4" fillId="0" borderId="5" applyAlignment="1" pivotButton="0" quotePrefix="0" xfId="0">
      <alignment horizontal="right" vertical="center"/>
    </xf>
    <xf numFmtId="0" fontId="17" fillId="0" borderId="30" applyAlignment="1" pivotButton="0" quotePrefix="0" xfId="0">
      <alignment vertical="center"/>
    </xf>
    <xf numFmtId="38" fontId="4" fillId="0" borderId="40" applyAlignment="1" applyProtection="1" pivotButton="0" quotePrefix="0" xfId="2">
      <alignment horizontal="center" vertical="center" shrinkToFit="1"/>
      <protection locked="0" hidden="0"/>
    </xf>
    <xf numFmtId="9" fontId="4" fillId="0" borderId="0" applyAlignment="1" pivotButton="0" quotePrefix="0" xfId="0">
      <alignment horizontal="left" vertical="center"/>
    </xf>
    <xf numFmtId="0" fontId="7" fillId="3" borderId="39" applyAlignment="1" pivotButton="0" quotePrefix="0" xfId="0">
      <alignment horizontal="center" vertical="center"/>
    </xf>
    <xf numFmtId="14" fontId="4" fillId="0" borderId="0" applyAlignment="1" pivotButton="0" quotePrefix="0" xfId="0">
      <alignment vertical="center"/>
    </xf>
    <xf numFmtId="164" fontId="4" fillId="3" borderId="25" applyAlignment="1" pivotButton="0" quotePrefix="0" xfId="0">
      <alignment horizontal="center" vertical="center" shrinkToFit="1"/>
    </xf>
    <xf numFmtId="38" fontId="4" fillId="0" borderId="15" applyAlignment="1" applyProtection="1" pivotButton="0" quotePrefix="0" xfId="2">
      <alignment horizontal="center" vertical="center" shrinkToFit="1"/>
      <protection locked="0" hidden="0"/>
    </xf>
    <xf numFmtId="38" fontId="4" fillId="0" borderId="17" applyAlignment="1" applyProtection="1" pivotButton="0" quotePrefix="0" xfId="2">
      <alignment horizontal="center" vertical="center" shrinkToFit="1"/>
      <protection locked="0" hidden="0"/>
    </xf>
    <xf numFmtId="49" fontId="4" fillId="3" borderId="13" applyAlignment="1" pivotButton="0" quotePrefix="0" xfId="0">
      <alignment horizontal="center" vertical="center" shrinkToFit="1"/>
    </xf>
    <xf numFmtId="38" fontId="4" fillId="0" borderId="40" applyAlignment="1" applyProtection="1" pivotButton="0" quotePrefix="0" xfId="2">
      <alignment horizontal="center" vertical="center" shrinkToFit="1"/>
      <protection locked="0" hidden="0"/>
    </xf>
    <xf numFmtId="0" fontId="4" fillId="3" borderId="19" applyAlignment="1" pivotButton="0" quotePrefix="0" xfId="2">
      <alignment horizontal="center" vertical="center" shrinkToFit="1"/>
    </xf>
    <xf numFmtId="0" fontId="4" fillId="0" borderId="0" applyAlignment="1" pivotButton="0" quotePrefix="0" xfId="1">
      <alignment vertical="center"/>
    </xf>
    <xf numFmtId="9" fontId="4" fillId="0" borderId="34" applyAlignment="1" applyProtection="1" pivotButton="0" quotePrefix="0" xfId="2">
      <alignment horizontal="center" vertical="center" shrinkToFit="1"/>
      <protection locked="0" hidden="0"/>
    </xf>
    <xf numFmtId="9" fontId="4" fillId="0" borderId="15" applyAlignment="1" applyProtection="1" pivotButton="0" quotePrefix="0" xfId="2">
      <alignment horizontal="center" vertical="center" shrinkToFit="1"/>
      <protection locked="0" hidden="0"/>
    </xf>
    <xf numFmtId="9" fontId="4" fillId="0" borderId="17" applyAlignment="1" applyProtection="1" pivotButton="0" quotePrefix="0" xfId="2">
      <alignment horizontal="center" vertical="center" shrinkToFit="1"/>
      <protection locked="0" hidden="0"/>
    </xf>
    <xf numFmtId="0" fontId="4" fillId="0" borderId="0" applyAlignment="1" pivotButton="0" quotePrefix="0" xfId="2">
      <alignment horizontal="center" vertical="center" shrinkToFit="1"/>
    </xf>
    <xf numFmtId="0" fontId="37" fillId="0" borderId="0" applyAlignment="1" pivotButton="0" quotePrefix="0" xfId="0">
      <alignment vertical="center"/>
    </xf>
    <xf numFmtId="0" fontId="4" fillId="0" borderId="0" applyAlignment="1" pivotButton="0" quotePrefix="0" xfId="0">
      <alignment vertical="top"/>
    </xf>
    <xf numFmtId="0" fontId="9" fillId="3" borderId="10" applyAlignment="1" pivotButton="0" quotePrefix="0" xfId="0">
      <alignment horizontal="center" vertical="center" wrapText="1"/>
    </xf>
    <xf numFmtId="164" fontId="4" fillId="3" borderId="43" applyAlignment="1" pivotButton="0" quotePrefix="0" xfId="0">
      <alignment horizontal="center" vertical="center" shrinkToFit="1"/>
    </xf>
    <xf numFmtId="164" fontId="4" fillId="0" borderId="49" applyAlignment="1" pivotButton="0" quotePrefix="0" xfId="0">
      <alignment horizontal="center" vertical="center" shrinkToFit="1"/>
    </xf>
    <xf numFmtId="165" fontId="12" fillId="0" borderId="45" applyAlignment="1" pivotButton="0" quotePrefix="0" xfId="0">
      <alignment vertical="center"/>
    </xf>
    <xf numFmtId="0" fontId="6" fillId="0" borderId="45" applyAlignment="1" pivotButton="0" quotePrefix="0" xfId="1">
      <alignment vertical="center" shrinkToFit="1"/>
    </xf>
    <xf numFmtId="0" fontId="4" fillId="0" borderId="3" applyAlignment="1" applyProtection="1" pivotButton="0" quotePrefix="0" xfId="0">
      <alignment horizontal="left" vertical="center" wrapText="1"/>
      <protection locked="0" hidden="0"/>
    </xf>
    <xf numFmtId="0" fontId="8" fillId="0" borderId="2" applyAlignment="1" applyProtection="1" pivotButton="0" quotePrefix="0" xfId="1">
      <alignment horizontal="left" vertical="distributed" shrinkToFit="1"/>
      <protection locked="0" hidden="0"/>
    </xf>
    <xf numFmtId="0" fontId="4" fillId="0" borderId="14" applyAlignment="1" applyProtection="1" pivotButton="0" quotePrefix="0" xfId="0">
      <alignment horizontal="center" vertical="center" shrinkToFit="1"/>
      <protection locked="0" hidden="0"/>
    </xf>
    <xf numFmtId="0" fontId="4" fillId="0" borderId="11" applyAlignment="1" applyProtection="1" pivotButton="0" quotePrefix="0" xfId="0">
      <alignment horizontal="center" vertical="center" shrinkToFit="1"/>
      <protection locked="0" hidden="0"/>
    </xf>
    <xf numFmtId="0" fontId="4" fillId="0" borderId="18" applyAlignment="1" applyProtection="1" pivotButton="0" quotePrefix="0" xfId="0">
      <alignment horizontal="center" vertical="center" shrinkToFit="1"/>
      <protection locked="0" hidden="0"/>
    </xf>
    <xf numFmtId="56" fontId="4" fillId="0" borderId="10" applyAlignment="1" applyProtection="1" pivotButton="0" quotePrefix="0" xfId="0">
      <alignment vertical="center" shrinkToFit="1"/>
      <protection locked="0" hidden="0"/>
    </xf>
    <xf numFmtId="0" fontId="4" fillId="0" borderId="34" applyAlignment="1" applyProtection="1" pivotButton="0" quotePrefix="0" xfId="0">
      <alignment vertical="center" shrinkToFit="1"/>
      <protection locked="0" hidden="0"/>
    </xf>
    <xf numFmtId="0" fontId="4" fillId="0" borderId="40" applyAlignment="1" applyProtection="1" pivotButton="0" quotePrefix="0" xfId="0">
      <alignment vertical="center" shrinkToFit="1"/>
      <protection locked="0" hidden="0"/>
    </xf>
    <xf numFmtId="0" fontId="4" fillId="0" borderId="54" applyAlignment="1" applyProtection="1" pivotButton="0" quotePrefix="0" xfId="0">
      <alignment vertical="center" shrinkToFit="1"/>
      <protection locked="0" hidden="0"/>
    </xf>
    <xf numFmtId="0" fontId="4" fillId="0" borderId="55" applyAlignment="1" applyProtection="1" pivotButton="0" quotePrefix="0" xfId="0">
      <alignment vertical="center" shrinkToFit="1"/>
      <protection locked="0" hidden="0"/>
    </xf>
    <xf numFmtId="0" fontId="14" fillId="0" borderId="34" applyAlignment="1" applyProtection="1" pivotButton="0" quotePrefix="0" xfId="0">
      <alignment horizontal="left" vertical="center" wrapText="1"/>
      <protection locked="0" hidden="0"/>
    </xf>
    <xf numFmtId="0" fontId="14" fillId="0" borderId="15" applyAlignment="1" applyProtection="1" pivotButton="0" quotePrefix="0" xfId="0">
      <alignment horizontal="left" vertical="center" wrapText="1"/>
      <protection locked="0" hidden="0"/>
    </xf>
    <xf numFmtId="14" fontId="4" fillId="0" borderId="16" applyAlignment="1" applyProtection="1" pivotButton="0" quotePrefix="0" xfId="0">
      <alignment vertical="center" shrinkToFit="1"/>
      <protection locked="0" hidden="0"/>
    </xf>
    <xf numFmtId="165" fontId="35" fillId="0" borderId="13" applyAlignment="1" pivotButton="0" quotePrefix="0" xfId="0">
      <alignment horizontal="right" vertical="center"/>
    </xf>
    <xf numFmtId="165" fontId="35" fillId="0" borderId="14" applyAlignment="1" pivotButton="0" quotePrefix="0" xfId="0">
      <alignment horizontal="right" vertical="center"/>
    </xf>
    <xf numFmtId="165" fontId="35" fillId="0" borderId="44" applyAlignment="1" pivotButton="0" quotePrefix="0" xfId="0">
      <alignment horizontal="right" vertical="center"/>
    </xf>
    <xf numFmtId="165" fontId="35" fillId="0" borderId="31" applyAlignment="1" pivotButton="0" quotePrefix="0" xfId="0">
      <alignment horizontal="right" vertical="center"/>
    </xf>
    <xf numFmtId="0" fontId="9" fillId="0" borderId="46" applyAlignment="1" pivotButton="0" quotePrefix="0" xfId="2">
      <alignment horizontal="center" vertical="center" shrinkToFit="1"/>
    </xf>
    <xf numFmtId="0" fontId="9" fillId="0" borderId="47" applyAlignment="1" pivotButton="0" quotePrefix="0" xfId="2">
      <alignment horizontal="center" vertical="center" shrinkToFit="1"/>
    </xf>
    <xf numFmtId="164" fontId="35" fillId="0" borderId="47" applyAlignment="1" pivotButton="0" quotePrefix="0" xfId="0">
      <alignment horizontal="right" vertical="center" shrinkToFit="1"/>
    </xf>
    <xf numFmtId="164" fontId="35" fillId="0" borderId="21" applyAlignment="1" pivotButton="0" quotePrefix="0" xfId="0">
      <alignment horizontal="right" vertical="center" shrinkToFit="1"/>
    </xf>
    <xf numFmtId="0" fontId="9" fillId="0" borderId="41" applyAlignment="1" pivotButton="0" quotePrefix="0" xfId="0">
      <alignment horizontal="center" vertical="center" wrapText="1" shrinkToFit="1"/>
    </xf>
    <xf numFmtId="0" fontId="9" fillId="0" borderId="42" applyAlignment="1" pivotButton="0" quotePrefix="0" xfId="0">
      <alignment horizontal="center" vertical="center" wrapText="1" shrinkToFit="1"/>
    </xf>
    <xf numFmtId="164" fontId="35" fillId="0" borderId="22" applyAlignment="1" pivotButton="0" quotePrefix="0" xfId="0">
      <alignment horizontal="right" vertical="center" shrinkToFit="1"/>
    </xf>
    <xf numFmtId="164" fontId="35" fillId="0" borderId="25" applyAlignment="1" pivotButton="0" quotePrefix="0" xfId="0">
      <alignment horizontal="right" vertical="center" shrinkToFit="1"/>
    </xf>
    <xf numFmtId="164" fontId="35" fillId="0" borderId="17" applyAlignment="1" pivotButton="0" quotePrefix="0" xfId="0">
      <alignment horizontal="right" vertical="center" shrinkToFit="1"/>
    </xf>
    <xf numFmtId="164" fontId="35" fillId="0" borderId="13" applyAlignment="1" pivotButton="0" quotePrefix="0" xfId="0">
      <alignment horizontal="right" vertical="center" shrinkToFit="1"/>
    </xf>
    <xf numFmtId="38" fontId="8" fillId="0" borderId="15" applyAlignment="1" applyProtection="1" pivotButton="0" quotePrefix="0" xfId="0">
      <alignment vertical="center" wrapText="1"/>
      <protection locked="0" hidden="0"/>
    </xf>
    <xf numFmtId="38" fontId="8" fillId="0" borderId="17" applyAlignment="1" applyProtection="1" pivotButton="0" quotePrefix="0" xfId="0">
      <alignment vertical="center" wrapText="1"/>
      <protection locked="0" hidden="0"/>
    </xf>
    <xf numFmtId="38" fontId="43" fillId="0" borderId="23" applyAlignment="1" applyProtection="1" pivotButton="0" quotePrefix="0" xfId="0">
      <alignment vertical="center" wrapText="1"/>
      <protection locked="0" hidden="0"/>
    </xf>
    <xf numFmtId="38" fontId="43" fillId="0" borderId="33" applyAlignment="1" applyProtection="1" pivotButton="0" quotePrefix="0" xfId="0">
      <alignment vertical="center" wrapText="1"/>
      <protection locked="0" hidden="0"/>
    </xf>
    <xf numFmtId="38" fontId="43" fillId="0" borderId="26" applyAlignment="1" applyProtection="1" pivotButton="0" quotePrefix="0" xfId="0">
      <alignment vertical="center" wrapText="1"/>
      <protection locked="0" hidden="0"/>
    </xf>
    <xf numFmtId="38" fontId="8" fillId="0" borderId="23" applyAlignment="1" applyProtection="1" pivotButton="0" quotePrefix="0" xfId="0">
      <alignment vertical="center" wrapText="1"/>
      <protection locked="0" hidden="0"/>
    </xf>
    <xf numFmtId="38" fontId="8" fillId="0" borderId="33" applyAlignment="1" applyProtection="1" pivotButton="0" quotePrefix="0" xfId="0">
      <alignment vertical="center" wrapText="1"/>
      <protection locked="0" hidden="0"/>
    </xf>
    <xf numFmtId="38" fontId="8" fillId="0" borderId="26" applyAlignment="1" applyProtection="1" pivotButton="0" quotePrefix="0" xfId="0">
      <alignment vertical="center" wrapText="1"/>
      <protection locked="0" hidden="0"/>
    </xf>
    <xf numFmtId="38" fontId="8" fillId="0" borderId="13" applyAlignment="1" applyProtection="1" pivotButton="0" quotePrefix="0" xfId="0">
      <alignment vertical="center" wrapText="1"/>
      <protection locked="0" hidden="0"/>
    </xf>
    <xf numFmtId="14" fontId="7" fillId="0" borderId="5" applyAlignment="1" applyProtection="1" pivotButton="0" quotePrefix="0" xfId="0">
      <alignment horizontal="center" vertical="center" shrinkToFit="1"/>
      <protection locked="0" hidden="0"/>
    </xf>
    <xf numFmtId="0" fontId="4" fillId="0" borderId="0" applyAlignment="1" pivotButton="0" quotePrefix="0" xfId="0">
      <alignment horizontal="center" vertical="center"/>
    </xf>
    <xf numFmtId="0" fontId="4" fillId="0" borderId="0" applyAlignment="1" pivotButton="0" quotePrefix="0" xfId="0">
      <alignment vertical="center"/>
    </xf>
    <xf numFmtId="49" fontId="8" fillId="0" borderId="15" applyAlignment="1" applyProtection="1" pivotButton="0" quotePrefix="0" xfId="0">
      <alignment horizontal="left" vertical="top" wrapText="1" shrinkToFit="1"/>
      <protection locked="0" hidden="0"/>
    </xf>
    <xf numFmtId="49" fontId="8" fillId="0" borderId="15" applyAlignment="1" applyProtection="1" pivotButton="0" quotePrefix="0" xfId="0">
      <alignment horizontal="left" vertical="top" shrinkToFit="1"/>
      <protection locked="0" hidden="0"/>
    </xf>
    <xf numFmtId="49" fontId="8" fillId="0" borderId="11" applyAlignment="1" applyProtection="1" pivotButton="0" quotePrefix="0" xfId="0">
      <alignment horizontal="left" vertical="top" shrinkToFit="1"/>
      <protection locked="0" hidden="0"/>
    </xf>
    <xf numFmtId="0" fontId="13" fillId="0" borderId="5" applyAlignment="1" pivotButton="0" quotePrefix="0" xfId="1">
      <alignment horizontal="center" vertical="distributed" shrinkToFit="1"/>
    </xf>
    <xf numFmtId="0" fontId="35" fillId="0" borderId="15" applyAlignment="1" applyProtection="1" pivotButton="0" quotePrefix="0" xfId="0">
      <alignment horizontal="center" vertical="center" shrinkToFit="1"/>
      <protection locked="0" hidden="0"/>
    </xf>
    <xf numFmtId="49" fontId="35" fillId="0" borderId="17" applyAlignment="1" applyProtection="1" pivotButton="0" quotePrefix="0" xfId="0">
      <alignment horizontal="center" vertical="center" shrinkToFit="1"/>
      <protection locked="0" hidden="0"/>
    </xf>
    <xf numFmtId="49" fontId="35" fillId="0" borderId="18" applyAlignment="1" applyProtection="1" pivotButton="0" quotePrefix="0" xfId="0">
      <alignment horizontal="center" vertical="center" shrinkToFit="1"/>
      <protection locked="0" hidden="0"/>
    </xf>
    <xf numFmtId="49" fontId="4" fillId="3" borderId="10" applyAlignment="1" pivotButton="0" quotePrefix="0" xfId="0">
      <alignment horizontal="center" vertical="center" shrinkToFit="1"/>
    </xf>
    <xf numFmtId="0" fontId="4" fillId="3" borderId="20" applyAlignment="1" pivotButton="0" quotePrefix="0" xfId="0">
      <alignment horizontal="center" vertical="center" shrinkToFit="1"/>
    </xf>
    <xf numFmtId="0" fontId="4" fillId="3" borderId="20" applyAlignment="1" pivotButton="0" quotePrefix="0" xfId="0">
      <alignment horizontal="center" vertical="center"/>
    </xf>
    <xf numFmtId="0" fontId="36" fillId="0" borderId="23" applyAlignment="1" applyProtection="1" pivotButton="0" quotePrefix="0" xfId="0">
      <alignment horizontal="center" vertical="center"/>
      <protection locked="0" hidden="0"/>
    </xf>
    <xf numFmtId="49" fontId="36" fillId="0" borderId="33" applyAlignment="1" applyProtection="1" pivotButton="0" quotePrefix="0" xfId="0">
      <alignment horizontal="center" vertical="center"/>
      <protection locked="0" hidden="0"/>
    </xf>
    <xf numFmtId="49" fontId="36" fillId="0" borderId="32" applyAlignment="1" applyProtection="1" pivotButton="0" quotePrefix="0" xfId="0">
      <alignment horizontal="center" vertical="center"/>
      <protection locked="0" hidden="0"/>
    </xf>
    <xf numFmtId="49" fontId="4" fillId="0" borderId="13" applyAlignment="1" applyProtection="1" pivotButton="0" quotePrefix="0" xfId="0">
      <alignment horizontal="center" vertical="center" shrinkToFit="1"/>
      <protection locked="0" hidden="0"/>
    </xf>
    <xf numFmtId="49" fontId="4" fillId="0" borderId="14" applyAlignment="1" applyProtection="1" pivotButton="0" quotePrefix="0" xfId="0">
      <alignment horizontal="center" vertical="center" shrinkToFit="1"/>
      <protection locked="0" hidden="0"/>
    </xf>
    <xf numFmtId="0" fontId="35" fillId="0" borderId="11" applyAlignment="1" applyProtection="1" pivotButton="0" quotePrefix="0" xfId="0">
      <alignment horizontal="center" vertical="center" shrinkToFit="1"/>
      <protection locked="0" hidden="0"/>
    </xf>
    <xf numFmtId="49" fontId="4" fillId="0" borderId="33" applyAlignment="1" pivotButton="0" quotePrefix="0" xfId="0">
      <alignment horizontal="center" vertical="center"/>
    </xf>
    <xf numFmtId="49" fontId="4" fillId="0" borderId="32" applyAlignment="1" pivotButton="0" quotePrefix="0" xfId="0">
      <alignment horizontal="center" vertical="center"/>
    </xf>
    <xf numFmtId="49" fontId="9" fillId="0" borderId="45" applyAlignment="1" pivotButton="0" quotePrefix="0" xfId="0">
      <alignment horizontal="center" vertical="center" shrinkToFit="1"/>
    </xf>
    <xf numFmtId="38" fontId="35" fillId="0" borderId="13" applyAlignment="1" applyProtection="1" pivotButton="0" quotePrefix="0" xfId="2">
      <alignment horizontal="right" vertical="center" shrinkToFit="1"/>
      <protection locked="0" hidden="0"/>
    </xf>
    <xf numFmtId="38" fontId="35" fillId="0" borderId="15" applyAlignment="1" applyProtection="1" pivotButton="0" quotePrefix="0" xfId="2">
      <alignment horizontal="right" vertical="center" shrinkToFit="1"/>
      <protection locked="0" hidden="0"/>
    </xf>
    <xf numFmtId="38" fontId="35" fillId="0" borderId="17" applyAlignment="1" applyProtection="1" pivotButton="0" quotePrefix="0" xfId="2">
      <alignment horizontal="right" vertical="center" shrinkToFit="1"/>
      <protection locked="0" hidden="0"/>
    </xf>
    <xf numFmtId="164" fontId="4" fillId="0" borderId="48" applyAlignment="1" pivotButton="0" quotePrefix="0" xfId="0">
      <alignment horizontal="center" vertical="center" shrinkToFit="1"/>
    </xf>
    <xf numFmtId="164" fontId="4" fillId="0" borderId="0" applyAlignment="1" pivotButton="0" quotePrefix="0" xfId="0">
      <alignment horizontal="center" vertical="center" shrinkToFit="1"/>
    </xf>
    <xf numFmtId="38" fontId="4" fillId="0" borderId="15" applyAlignment="1" applyProtection="1" pivotButton="0" quotePrefix="0" xfId="0">
      <alignment horizontal="center" vertical="center" shrinkToFit="1"/>
      <protection locked="0" hidden="0"/>
    </xf>
    <xf numFmtId="38" fontId="4" fillId="0" borderId="15" applyAlignment="1" applyProtection="1" pivotButton="0" quotePrefix="0" xfId="2">
      <alignment horizontal="right" vertical="center" shrinkToFit="1"/>
      <protection locked="0" hidden="0"/>
    </xf>
    <xf numFmtId="164" fontId="4" fillId="0" borderId="20" applyAlignment="1" pivotButton="0" quotePrefix="0" xfId="0">
      <alignment horizontal="center" vertical="center" shrinkToFit="1"/>
    </xf>
    <xf numFmtId="164" fontId="4" fillId="0" borderId="21" applyAlignment="1" pivotButton="0" quotePrefix="0" xfId="0">
      <alignment horizontal="center" vertical="center" shrinkToFit="1"/>
    </xf>
    <xf numFmtId="38" fontId="4" fillId="0" borderId="17" applyAlignment="1" applyProtection="1" pivotButton="0" quotePrefix="0" xfId="0">
      <alignment horizontal="center" vertical="center" shrinkToFit="1"/>
      <protection locked="0" hidden="0"/>
    </xf>
    <xf numFmtId="38" fontId="4" fillId="0" borderId="17" applyAlignment="1" applyProtection="1" pivotButton="0" quotePrefix="0" xfId="2">
      <alignment horizontal="right" vertical="center" shrinkToFit="1"/>
      <protection locked="0" hidden="0"/>
    </xf>
    <xf numFmtId="38" fontId="4" fillId="0" borderId="23" applyAlignment="1" applyProtection="1" pivotButton="0" quotePrefix="0" xfId="0">
      <alignment horizontal="center" vertical="center" shrinkToFit="1"/>
      <protection locked="0" hidden="0"/>
    </xf>
    <xf numFmtId="38" fontId="4" fillId="0" borderId="26" applyAlignment="1" applyProtection="1" pivotButton="0" quotePrefix="0" xfId="0">
      <alignment horizontal="center" vertical="center" shrinkToFit="1"/>
      <protection locked="0" hidden="0"/>
    </xf>
    <xf numFmtId="38" fontId="4" fillId="0" borderId="34" applyAlignment="1" applyProtection="1" pivotButton="0" quotePrefix="0" xfId="0">
      <alignment horizontal="center" vertical="center" shrinkToFit="1"/>
      <protection locked="0" hidden="0"/>
    </xf>
    <xf numFmtId="38" fontId="4" fillId="0" borderId="34" applyAlignment="1" applyProtection="1" pivotButton="0" quotePrefix="0" xfId="2">
      <alignment horizontal="right" vertical="center" shrinkToFit="1"/>
      <protection locked="0" hidden="0"/>
    </xf>
    <xf numFmtId="38" fontId="4" fillId="0" borderId="17" applyAlignment="1" pivotButton="0" quotePrefix="0" xfId="0">
      <alignment horizontal="center" vertical="center"/>
    </xf>
    <xf numFmtId="38" fontId="4" fillId="0" borderId="18" applyAlignment="1" pivotButton="0" quotePrefix="0" xfId="0">
      <alignment horizontal="center" vertical="center"/>
    </xf>
    <xf numFmtId="0" fontId="7" fillId="3" borderId="20" applyAlignment="1" pivotButton="0" quotePrefix="0" xfId="0">
      <alignment horizontal="center" vertical="center" shrinkToFit="1"/>
    </xf>
    <xf numFmtId="166" fontId="10" fillId="0" borderId="13" applyAlignment="1" pivotButton="0" quotePrefix="0" xfId="0">
      <alignment horizontal="center" vertical="center" shrinkToFit="1"/>
    </xf>
    <xf numFmtId="166" fontId="10" fillId="0" borderId="14" applyAlignment="1" pivotButton="0" quotePrefix="0" xfId="0">
      <alignment horizontal="center" vertical="center" shrinkToFit="1"/>
    </xf>
    <xf numFmtId="38" fontId="4" fillId="0" borderId="15" applyAlignment="1" pivotButton="0" quotePrefix="0" xfId="0">
      <alignment horizontal="center" vertical="center"/>
    </xf>
    <xf numFmtId="38" fontId="4" fillId="0" borderId="11" applyAlignment="1" pivotButton="0" quotePrefix="0" xfId="0">
      <alignment horizontal="center" vertical="center"/>
    </xf>
    <xf numFmtId="0" fontId="9" fillId="0" borderId="0" applyAlignment="1" pivotButton="0" quotePrefix="0" xfId="0">
      <alignment vertical="center"/>
    </xf>
    <xf numFmtId="49" fontId="8" fillId="0" borderId="11" applyAlignment="1" applyProtection="1" pivotButton="0" quotePrefix="0" xfId="0">
      <alignment horizontal="left" vertical="top" wrapText="1" shrinkToFit="1"/>
      <protection locked="0" hidden="0"/>
    </xf>
    <xf numFmtId="0" fontId="9" fillId="0" borderId="22" applyAlignment="1" pivotButton="0" quotePrefix="0" xfId="1">
      <alignment horizontal="left" vertical="distributed" shrinkToFit="1"/>
    </xf>
    <xf numFmtId="0" fontId="9" fillId="0" borderId="50" applyAlignment="1" pivotButton="0" quotePrefix="0" xfId="1">
      <alignment horizontal="left" vertical="distributed" shrinkToFit="1"/>
    </xf>
    <xf numFmtId="0" fontId="9" fillId="0" borderId="53" applyAlignment="1" pivotButton="0" quotePrefix="0" xfId="1">
      <alignment horizontal="left" vertical="distributed" shrinkToFit="1"/>
    </xf>
    <xf numFmtId="0" fontId="9" fillId="0" borderId="23" applyAlignment="1" pivotButton="0" quotePrefix="0" xfId="0">
      <alignment horizontal="left" vertical="center"/>
    </xf>
    <xf numFmtId="0" fontId="9" fillId="0" borderId="33" applyAlignment="1" pivotButton="0" quotePrefix="0" xfId="0">
      <alignment horizontal="left" vertical="center"/>
    </xf>
    <xf numFmtId="0" fontId="9" fillId="0" borderId="32" applyAlignment="1" pivotButton="0" quotePrefix="0" xfId="0">
      <alignment horizontal="left" vertical="center"/>
    </xf>
    <xf numFmtId="0" fontId="9" fillId="0" borderId="24" applyAlignment="1" pivotButton="0" quotePrefix="0" xfId="0">
      <alignment horizontal="center" vertical="center"/>
    </xf>
    <xf numFmtId="0" fontId="9" fillId="0" borderId="51" applyAlignment="1" pivotButton="0" quotePrefix="0" xfId="0">
      <alignment horizontal="center" vertical="center"/>
    </xf>
    <xf numFmtId="0" fontId="9" fillId="0" borderId="52" applyAlignment="1" pivotButton="0" quotePrefix="0" xfId="0">
      <alignment horizontal="center" vertical="center"/>
    </xf>
    <xf numFmtId="40" fontId="4" fillId="0" borderId="17" applyAlignment="1" applyProtection="1" pivotButton="0" quotePrefix="0" xfId="2">
      <alignment horizontal="center" vertical="center" shrinkToFit="1"/>
      <protection locked="0" hidden="0"/>
    </xf>
    <xf numFmtId="168" fontId="4" fillId="0" borderId="20" applyAlignment="1" pivotButton="0" quotePrefix="0" xfId="0">
      <alignment horizontal="center" vertical="center" shrinkToFit="1"/>
    </xf>
    <xf numFmtId="168" fontId="4" fillId="0" borderId="21" applyAlignment="1" pivotButton="0" quotePrefix="0" xfId="0">
      <alignment horizontal="center" vertical="center" shrinkToFit="1"/>
    </xf>
    <xf numFmtId="40" fontId="4" fillId="0" borderId="15" applyAlignment="1" applyProtection="1" pivotButton="0" quotePrefix="0" xfId="2">
      <alignment horizontal="center" vertical="center" shrinkToFit="1"/>
      <protection locked="0" hidden="0"/>
    </xf>
    <xf numFmtId="38" fontId="4" fillId="0" borderId="13" applyAlignment="1" applyProtection="1" pivotButton="0" quotePrefix="0" xfId="0">
      <alignment horizontal="center" vertical="center" shrinkToFit="1"/>
      <protection locked="0" hidden="0"/>
    </xf>
    <xf numFmtId="40" fontId="4" fillId="0" borderId="13" applyAlignment="1" applyProtection="1" pivotButton="0" quotePrefix="0" xfId="2">
      <alignment horizontal="center" vertical="center" shrinkToFit="1"/>
      <protection locked="0" hidden="0"/>
    </xf>
    <xf numFmtId="49" fontId="36" fillId="0" borderId="23" applyAlignment="1" applyProtection="1" pivotButton="0" quotePrefix="0" xfId="0">
      <alignment horizontal="center" vertical="center"/>
      <protection locked="0" hidden="0"/>
    </xf>
    <xf numFmtId="49" fontId="35" fillId="0" borderId="17" applyAlignment="1" applyProtection="1" pivotButton="0" quotePrefix="0" xfId="0">
      <alignment horizontal="left" vertical="center" shrinkToFit="1"/>
      <protection locked="0" hidden="0"/>
    </xf>
    <xf numFmtId="49" fontId="35" fillId="0" borderId="18" applyAlignment="1" applyProtection="1" pivotButton="0" quotePrefix="0" xfId="0">
      <alignment horizontal="left" vertical="center" shrinkToFit="1"/>
      <protection locked="0" hidden="0"/>
    </xf>
    <xf numFmtId="166" fontId="28" fillId="0" borderId="13" applyAlignment="1" pivotButton="0" quotePrefix="0" xfId="0">
      <alignment horizontal="center" vertical="center" shrinkToFit="1"/>
    </xf>
    <xf numFmtId="166" fontId="28" fillId="0" borderId="14" applyAlignment="1" pivotButton="0" quotePrefix="0" xfId="0">
      <alignment horizontal="center" vertical="center" shrinkToFit="1"/>
    </xf>
    <xf numFmtId="40" fontId="17" fillId="0" borderId="15" applyAlignment="1" pivotButton="0" quotePrefix="0" xfId="0">
      <alignment horizontal="center" vertical="center"/>
    </xf>
    <xf numFmtId="40" fontId="17" fillId="0" borderId="31" applyAlignment="1" pivotButton="0" quotePrefix="0" xfId="0">
      <alignment horizontal="center" vertical="center"/>
    </xf>
    <xf numFmtId="0" fontId="9" fillId="0" borderId="13" applyAlignment="1" pivotButton="0" quotePrefix="0" xfId="1">
      <alignment horizontal="right" vertical="distributed" shrinkToFit="1"/>
    </xf>
    <xf numFmtId="0" fontId="9" fillId="0" borderId="14" applyAlignment="1" pivotButton="0" quotePrefix="0" xfId="1">
      <alignment horizontal="right" vertical="distributed" shrinkToFit="1"/>
    </xf>
    <xf numFmtId="0" fontId="9" fillId="0" borderId="15" applyAlignment="1" pivotButton="0" quotePrefix="0" xfId="0">
      <alignment horizontal="center" vertical="center"/>
    </xf>
    <xf numFmtId="0" fontId="9" fillId="0" borderId="11" applyAlignment="1" pivotButton="0" quotePrefix="0" xfId="0">
      <alignment horizontal="center" vertical="center"/>
    </xf>
    <xf numFmtId="0" fontId="4" fillId="0" borderId="17" applyAlignment="1" pivotButton="0" quotePrefix="0" xfId="0">
      <alignment horizontal="center" vertical="center"/>
    </xf>
    <xf numFmtId="0" fontId="4" fillId="0" borderId="18" applyAlignment="1" pivotButton="0" quotePrefix="0" xfId="0">
      <alignment horizontal="center" vertical="center"/>
    </xf>
    <xf numFmtId="0" fontId="13" fillId="0" borderId="5" applyAlignment="1" pivotButton="0" quotePrefix="0" xfId="1">
      <alignment horizontal="center" vertical="center" shrinkToFit="1"/>
    </xf>
    <xf numFmtId="0" fontId="35" fillId="0" borderId="15" applyAlignment="1" applyProtection="1" pivotButton="0" quotePrefix="0" xfId="0">
      <alignment horizontal="right" vertical="center" shrinkToFit="1"/>
      <protection locked="0" hidden="0"/>
    </xf>
    <xf numFmtId="0" fontId="35" fillId="0" borderId="11" applyAlignment="1" applyProtection="1" pivotButton="0" quotePrefix="0" xfId="0">
      <alignment horizontal="right" vertical="center" shrinkToFit="1"/>
      <protection locked="0" hidden="0"/>
    </xf>
    <xf numFmtId="164" fontId="17" fillId="0" borderId="17" applyAlignment="1" pivotButton="0" quotePrefix="0" xfId="0">
      <alignment horizontal="center" vertical="center"/>
    </xf>
    <xf numFmtId="164" fontId="17" fillId="0" borderId="9" applyAlignment="1" pivotButton="0" quotePrefix="0" xfId="0">
      <alignment horizontal="center" vertical="center"/>
    </xf>
    <xf numFmtId="0" fontId="0" fillId="0" borderId="5" applyProtection="1" pivotButton="0" quotePrefix="0" xfId="0">
      <protection locked="0" hidden="0"/>
    </xf>
    <xf numFmtId="0" fontId="0" fillId="0" borderId="5" pivotButton="0" quotePrefix="0" xfId="0"/>
    <xf numFmtId="0" fontId="0" fillId="0" borderId="25" applyProtection="1" pivotButton="0" quotePrefix="0" xfId="0">
      <protection locked="0" hidden="0"/>
    </xf>
    <xf numFmtId="0" fontId="0" fillId="0" borderId="33" pivotButton="0" quotePrefix="0" xfId="0"/>
    <xf numFmtId="0" fontId="0" fillId="0" borderId="32" pivotButton="0" quotePrefix="0" xfId="0"/>
    <xf numFmtId="0" fontId="0" fillId="0" borderId="56" applyProtection="1" pivotButton="0" quotePrefix="0" xfId="0">
      <protection locked="0" hidden="0"/>
    </xf>
    <xf numFmtId="0" fontId="0" fillId="0" borderId="43" applyProtection="1" pivotButton="0" quotePrefix="0" xfId="0">
      <protection locked="0" hidden="0"/>
    </xf>
    <xf numFmtId="0" fontId="0" fillId="0" borderId="63" pivotButton="0" quotePrefix="0" xfId="0"/>
    <xf numFmtId="0" fontId="0" fillId="0" borderId="59" applyProtection="1" pivotButton="0" quotePrefix="0" xfId="0">
      <protection locked="0" hidden="0"/>
    </xf>
    <xf numFmtId="0" fontId="0" fillId="0" borderId="60" applyProtection="1" pivotButton="0" quotePrefix="0" xfId="0">
      <protection locked="0" hidden="0"/>
    </xf>
    <xf numFmtId="0" fontId="0" fillId="0" borderId="61" applyProtection="1" pivotButton="0" quotePrefix="0" xfId="0">
      <protection locked="0" hidden="0"/>
    </xf>
    <xf numFmtId="166" fontId="10" fillId="0" borderId="7" applyAlignment="1" pivotButton="0" quotePrefix="0" xfId="0">
      <alignment vertical="center" shrinkToFit="1"/>
    </xf>
    <xf numFmtId="0" fontId="0" fillId="0" borderId="26" applyProtection="1" pivotButton="0" quotePrefix="0" xfId="0">
      <protection locked="0" hidden="0"/>
    </xf>
    <xf numFmtId="0" fontId="36" fillId="0" borderId="11" applyAlignment="1" applyProtection="1" pivotButton="0" quotePrefix="0" xfId="0">
      <alignment horizontal="center" vertical="center"/>
      <protection locked="0" hidden="0"/>
    </xf>
    <xf numFmtId="0" fontId="0" fillId="0" borderId="33" applyProtection="1" pivotButton="0" quotePrefix="0" xfId="0">
      <protection locked="0" hidden="0"/>
    </xf>
    <xf numFmtId="0" fontId="0" fillId="0" borderId="32" applyProtection="1" pivotButton="0" quotePrefix="0" xfId="0">
      <protection locked="0" hidden="0"/>
    </xf>
    <xf numFmtId="0" fontId="0" fillId="0" borderId="51" applyProtection="1" pivotButton="0" quotePrefix="0" xfId="0">
      <protection locked="0" hidden="0"/>
    </xf>
    <xf numFmtId="0" fontId="0" fillId="0" borderId="27" applyProtection="1" pivotButton="0" quotePrefix="0" xfId="0">
      <protection locked="0" hidden="0"/>
    </xf>
    <xf numFmtId="0" fontId="0" fillId="0" borderId="45" pivotButton="0" quotePrefix="0" xfId="0"/>
    <xf numFmtId="0" fontId="0" fillId="0" borderId="64" pivotButton="0" quotePrefix="0" xfId="0"/>
    <xf numFmtId="0" fontId="0" fillId="0" borderId="47" pivotButton="0" quotePrefix="0" xfId="0"/>
    <xf numFmtId="0" fontId="0" fillId="0" borderId="50" applyProtection="1" pivotButton="0" quotePrefix="0" xfId="0">
      <protection locked="0" hidden="0"/>
    </xf>
    <xf numFmtId="164" fontId="7" fillId="0" borderId="0" applyAlignment="1" pivotButton="0" quotePrefix="0" xfId="1">
      <alignment vertical="center" shrinkToFit="1"/>
    </xf>
    <xf numFmtId="38" fontId="43" fillId="0" borderId="15" applyAlignment="1" applyProtection="1" pivotButton="0" quotePrefix="0" xfId="0">
      <alignment vertical="center" wrapText="1"/>
      <protection locked="0" hidden="0"/>
    </xf>
    <xf numFmtId="165" fontId="19" fillId="0" borderId="0" applyAlignment="1" pivotButton="0" quotePrefix="0" xfId="0">
      <alignment horizontal="right" vertical="center" shrinkToFit="1"/>
    </xf>
    <xf numFmtId="165" fontId="11" fillId="0" borderId="0" applyAlignment="1" pivotButton="0" quotePrefix="0" xfId="0">
      <alignment vertical="center" shrinkToFit="1"/>
    </xf>
    <xf numFmtId="165" fontId="11" fillId="0" borderId="0" applyAlignment="1" pivotButton="0" quotePrefix="0" xfId="0">
      <alignment vertical="center"/>
    </xf>
    <xf numFmtId="164" fontId="35" fillId="0" borderId="13" applyAlignment="1" pivotButton="0" quotePrefix="0" xfId="0">
      <alignment horizontal="right" vertical="center" shrinkToFit="1"/>
    </xf>
    <xf numFmtId="0" fontId="0" fillId="0" borderId="25" pivotButton="0" quotePrefix="0" xfId="0"/>
    <xf numFmtId="164" fontId="4" fillId="3" borderId="25" applyAlignment="1" pivotButton="0" quotePrefix="0" xfId="0">
      <alignment horizontal="center" vertical="center" shrinkToFit="1"/>
    </xf>
    <xf numFmtId="165" fontId="35" fillId="0" borderId="13" applyAlignment="1" pivotButton="0" quotePrefix="0" xfId="0">
      <alignment horizontal="right" vertical="center"/>
    </xf>
    <xf numFmtId="0" fontId="0" fillId="0" borderId="42" pivotButton="0" quotePrefix="0" xfId="0"/>
    <xf numFmtId="164" fontId="35" fillId="0" borderId="17" applyAlignment="1" pivotButton="0" quotePrefix="0" xfId="0">
      <alignment horizontal="right" vertical="center" shrinkToFit="1"/>
    </xf>
    <xf numFmtId="0" fontId="0" fillId="0" borderId="27" pivotButton="0" quotePrefix="0" xfId="0"/>
    <xf numFmtId="164" fontId="4" fillId="3" borderId="43" applyAlignment="1" pivotButton="0" quotePrefix="0" xfId="0">
      <alignment horizontal="center" vertical="center" shrinkToFit="1"/>
    </xf>
    <xf numFmtId="165" fontId="35" fillId="0" borderId="44" applyAlignment="1" pivotButton="0" quotePrefix="0" xfId="0">
      <alignment horizontal="right" vertical="center"/>
    </xf>
    <xf numFmtId="0" fontId="0" fillId="0" borderId="43" pivotButton="0" quotePrefix="0" xfId="0"/>
    <xf numFmtId="164" fontId="4" fillId="0" borderId="0" applyAlignment="1" pivotButton="0" quotePrefix="0" xfId="0">
      <alignment vertical="center" shrinkToFit="1"/>
    </xf>
    <xf numFmtId="0" fontId="9" fillId="0" borderId="19" applyAlignment="1" pivotButton="0" quotePrefix="0" xfId="2">
      <alignment horizontal="center" vertical="center" shrinkToFit="1"/>
    </xf>
    <xf numFmtId="164" fontId="35" fillId="0" borderId="47" applyAlignment="1" pivotButton="0" quotePrefix="0" xfId="0">
      <alignment horizontal="right" vertical="center" shrinkToFit="1"/>
    </xf>
    <xf numFmtId="164" fontId="4" fillId="0" borderId="49" applyAlignment="1" pivotButton="0" quotePrefix="0" xfId="0">
      <alignment horizontal="center" vertical="center" shrinkToFit="1"/>
    </xf>
    <xf numFmtId="165" fontId="12" fillId="0" borderId="45" applyAlignment="1" pivotButton="0" quotePrefix="0" xfId="0">
      <alignment vertical="center"/>
    </xf>
    <xf numFmtId="165" fontId="12" fillId="0" borderId="0" applyAlignment="1" pivotButton="0" quotePrefix="0" xfId="0">
      <alignment vertical="center"/>
    </xf>
    <xf numFmtId="164" fontId="11" fillId="0" borderId="0" applyAlignment="1" pivotButton="0" quotePrefix="0" xfId="0">
      <alignment vertical="center" shrinkToFit="1"/>
    </xf>
    <xf numFmtId="0" fontId="9" fillId="0" borderId="14" applyAlignment="1" pivotButton="0" quotePrefix="0" xfId="1">
      <alignment horizontal="left" vertical="distributed" shrinkToFit="1"/>
    </xf>
    <xf numFmtId="0" fontId="0" fillId="0" borderId="50" pivotButton="0" quotePrefix="0" xfId="0"/>
    <xf numFmtId="0" fontId="0" fillId="0" borderId="53" pivotButton="0" quotePrefix="0" xfId="0"/>
    <xf numFmtId="0" fontId="9" fillId="0" borderId="11" applyAlignment="1" pivotButton="0" quotePrefix="0" xfId="0">
      <alignment horizontal="left" vertical="center"/>
    </xf>
    <xf numFmtId="0" fontId="9" fillId="0" borderId="18" applyAlignment="1" pivotButton="0" quotePrefix="0" xfId="0">
      <alignment horizontal="center" vertical="center"/>
    </xf>
    <xf numFmtId="0" fontId="0" fillId="0" borderId="51" pivotButton="0" quotePrefix="0" xfId="0"/>
    <xf numFmtId="0" fontId="0" fillId="0" borderId="52" pivotButton="0" quotePrefix="0" xfId="0"/>
    <xf numFmtId="166" fontId="10" fillId="0" borderId="13" applyAlignment="1" pivotButton="0" quotePrefix="0" xfId="0">
      <alignment horizontal="center" vertical="center" shrinkToFit="1"/>
    </xf>
    <xf numFmtId="0" fontId="0" fillId="0" borderId="26" pivotButton="0" quotePrefix="0" xfId="0"/>
    <xf numFmtId="0" fontId="0" fillId="0" borderId="55" applyProtection="1" pivotButton="0" quotePrefix="0" xfId="0">
      <protection locked="0" hidden="0"/>
    </xf>
    <xf numFmtId="164" fontId="7" fillId="0" borderId="0" applyAlignment="1" pivotButton="0" quotePrefix="0" xfId="1">
      <alignment vertical="center"/>
    </xf>
    <xf numFmtId="164" fontId="4" fillId="0" borderId="20" applyAlignment="1" pivotButton="0" quotePrefix="0" xfId="0">
      <alignment horizontal="center" vertical="center" shrinkToFit="1"/>
    </xf>
    <xf numFmtId="164" fontId="4" fillId="0" borderId="48" applyAlignment="1" pivotButton="0" quotePrefix="0" xfId="0">
      <alignment horizontal="center" vertical="center" shrinkToFit="1"/>
    </xf>
    <xf numFmtId="164" fontId="4" fillId="0" borderId="0" applyAlignment="1" pivotButton="0" quotePrefix="0" xfId="0">
      <alignment horizontal="center" vertical="center" shrinkToFit="1"/>
    </xf>
    <xf numFmtId="166" fontId="28" fillId="0" borderId="13" applyAlignment="1" pivotButton="0" quotePrefix="0" xfId="0">
      <alignment horizontal="center" vertical="center" shrinkToFit="1"/>
    </xf>
    <xf numFmtId="166" fontId="28" fillId="0" borderId="0" applyAlignment="1" pivotButton="0" quotePrefix="0" xfId="0">
      <alignment horizontal="center" vertical="center" shrinkToFit="1"/>
    </xf>
    <xf numFmtId="167" fontId="4" fillId="0" borderId="23" applyAlignment="1" pivotButton="0" quotePrefix="0" xfId="0">
      <alignment horizontal="right" vertical="center"/>
    </xf>
    <xf numFmtId="49" fontId="36" fillId="0" borderId="11" applyAlignment="1" applyProtection="1" pivotButton="0" quotePrefix="0" xfId="0">
      <alignment horizontal="center" vertical="center"/>
      <protection locked="0" hidden="0"/>
    </xf>
    <xf numFmtId="164" fontId="17" fillId="0" borderId="17" applyAlignment="1" pivotButton="0" quotePrefix="0" xfId="0">
      <alignment horizontal="center" vertical="center"/>
    </xf>
    <xf numFmtId="164" fontId="17" fillId="0" borderId="0" applyAlignment="1" pivotButton="0" quotePrefix="0" xfId="0">
      <alignment horizontal="center" vertical="center"/>
    </xf>
    <xf numFmtId="168" fontId="4" fillId="0" borderId="20" applyAlignment="1" pivotButton="0" quotePrefix="0" xfId="0">
      <alignment horizontal="center" vertical="center" shrinkToFit="1"/>
    </xf>
  </cellXfs>
  <cellStyles count="4">
    <cellStyle name="標準" xfId="0" builtinId="0"/>
    <cellStyle name="アクセント 5" xfId="1" builtinId="45"/>
    <cellStyle name="桁区切り" xfId="2" builtinId="6"/>
    <cellStyle name="ハイパーリンク" xfId="3"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作成者</author>
  </authors>
  <commentList>
    <comment ref="F5" authorId="0" shapeId="0">
      <text>
        <t>支払通知書の右下に「お問い合せ番号」とある、アルファベットの後の７桁の数字を入力して下さい</t>
      </text>
    </comment>
    <comment ref="G9" authorId="0" shapeId="0">
      <text>
        <t xml:space="preserve">銀行名を入力してください
</t>
      </text>
    </comment>
    <comment ref="I9" authorId="0" shapeId="0">
      <text>
        <t>支店名を入力して下さい</t>
      </text>
    </comment>
    <comment ref="B14" authorId="0" shapeId="0">
      <text>
        <t>日付は、月／日の形式で入力して下さい
（例　1/1)</t>
      </text>
    </comment>
    <comment ref="D14" authorId="0" shapeId="0">
      <text>
        <t>目的、同席者名、人数等を入力して下さい。</t>
      </text>
    </comment>
    <comment ref="I14" authorId="0" shapeId="0">
      <text>
        <t>軽減税率8％、課税対象外（非課税/不課税）のお支払いについては該当する税率を選択してください</t>
      </text>
    </comment>
    <comment ref="J14" authorId="0" shapeId="0">
      <text>
        <t>非適格請求書発行事業者へのお支払いについてはチェックを外してください</t>
      </text>
    </comment>
  </commentList>
</comments>
</file>

<file path=xl/comments/comment2.xml><?xml version="1.0" encoding="utf-8"?>
<comments xmlns="http://schemas.openxmlformats.org/spreadsheetml/2006/main">
  <authors>
    <author>作成者</author>
  </authors>
  <commentList>
    <comment ref="H5" authorId="0" shapeId="0">
      <text>
        <t>支払通知書の右下に「お問い合せ番号」とある、アルファベットの後の７桁の数字を入力して下さい</t>
      </text>
    </comment>
    <comment ref="I9" authorId="0" shapeId="0">
      <text>
        <t xml:space="preserve">銀行名を入力してください
</t>
      </text>
    </comment>
    <comment ref="K9" authorId="0" shapeId="0">
      <text>
        <t>支店名を入力して下さい</t>
      </text>
    </comment>
    <comment ref="B14" authorId="0" shapeId="0">
      <text>
        <t xml:space="preserve">日付は、月／日の形で入力して下さい
（例　5/22)
</t>
      </text>
    </comment>
    <comment ref="G14" authorId="0" shapeId="0">
      <text>
        <t xml:space="preserve">訪問先は、地名では無く目的地の固有名詞を入力して下さい。　（例：　小学館、○○スタジオ、□□社等。　神保町・東京などの一般的な駅名地名は不可。ただし、駅や場所そのものがロケ等の目的地の場合は可）
</t>
      </text>
    </comment>
    <comment ref="H14" authorId="0" shapeId="0">
      <text>
        <t>タクシー使用の理由、同行者、人数等を入力して下さい。</t>
      </text>
    </comment>
    <comment ref="L14" authorId="0" shapeId="0">
      <text>
        <t>非適格請求書発行事業者へのお支払いについてはチェックを外してください</t>
      </text>
    </comment>
  </commentList>
</comments>
</file>

<file path=xl/comments/comment3.xml><?xml version="1.0" encoding="utf-8"?>
<comments xmlns="http://schemas.openxmlformats.org/spreadsheetml/2006/main">
  <authors>
    <author>作成者</author>
  </authors>
  <commentList>
    <comment ref="F6" authorId="0" shapeId="0">
      <text>
        <t>支払通知書の右下に「お問い合せ番号」とある、アルファベットの後の７桁の数字を入力して下さい</t>
      </text>
    </comment>
    <comment ref="G10" authorId="0" shapeId="0">
      <text>
        <t xml:space="preserve">銀行名を入力してください
</t>
      </text>
    </comment>
    <comment ref="I10" authorId="0" shapeId="0">
      <text>
        <t>支店名を入力して下さい</t>
      </text>
    </comment>
    <comment ref="C11" authorId="0" shapeId="0">
      <text>
        <t>使用した通貨を入力してください</t>
      </text>
    </comment>
    <comment ref="B15" authorId="0" shapeId="0">
      <text>
        <t xml:space="preserve">日付は、月／日の形で入力して下さい
（例　5/22)
</t>
      </text>
    </comment>
    <comment ref="D15" authorId="0" shapeId="0">
      <text>
        <t xml:space="preserve">目的、同席者名、人数等を入力して下さい。
</t>
      </text>
    </comment>
  </commentList>
</comment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fitToPage="1"/>
  </sheetPr>
  <dimension ref="A1:Q50"/>
  <sheetViews>
    <sheetView showZeros="0" view="pageBreakPreview" topLeftCell="A14" zoomScale="125" zoomScaleNormal="90" zoomScaleSheetLayoutView="80" workbookViewId="0">
      <selection activeCell="B1" sqref="B1:L45"/>
    </sheetView>
  </sheetViews>
  <sheetFormatPr baseColWidth="10" defaultColWidth="9" defaultRowHeight="16"/>
  <cols>
    <col width="1" customWidth="1" style="187" min="1" max="1"/>
    <col width="12" customWidth="1" style="187" min="2" max="2"/>
    <col width="26" customWidth="1" style="187" min="3" max="3"/>
    <col width="19.5" customWidth="1" style="187" min="4" max="4"/>
    <col width="12.6640625" customWidth="1" style="187" min="5" max="5"/>
    <col width="21" customWidth="1" style="187" min="6" max="6"/>
    <col width="13" customWidth="1" style="187" min="7" max="7"/>
    <col width="6.6640625" customWidth="1" style="187" min="8" max="8"/>
    <col width="9.33203125" customWidth="1" style="187" min="9" max="9"/>
    <col width="7.5" customWidth="1" style="187" min="10" max="10"/>
    <col width="9.6640625" customWidth="1" style="26" min="11" max="11"/>
    <col width="9" customWidth="1" style="187" min="12" max="12"/>
    <col hidden="1" width="9" customWidth="1" style="187" min="13" max="13"/>
    <col width="9" customWidth="1" style="187" min="14" max="14"/>
    <col width="11.5" bestFit="1" customWidth="1" style="187" min="15" max="15"/>
    <col width="9" customWidth="1" style="187" min="16" max="16384"/>
  </cols>
  <sheetData>
    <row r="1" ht="22" customHeight="1" thickBot="1">
      <c r="H1" s="21" t="inlineStr">
        <is>
          <t>請求日</t>
        </is>
      </c>
      <c r="I1" s="185" t="n"/>
      <c r="J1" s="264" t="n"/>
    </row>
    <row r="2" ht="9.75" customHeight="1" thickBot="1"/>
    <row r="3" ht="31" customHeight="1" thickBot="1">
      <c r="B3" s="36" t="inlineStr">
        <is>
          <t>局・編集部</t>
        </is>
      </c>
      <c r="C3" s="150" t="inlineStr">
        <is>
          <t>NEWSポストセブン編集部</t>
        </is>
      </c>
      <c r="D3" s="22" t="n"/>
      <c r="E3" s="22" t="n"/>
      <c r="F3" s="191" t="inlineStr">
        <is>
          <t>小学館宛　経費（雑費）請求明細</t>
        </is>
      </c>
      <c r="G3" s="265" t="n"/>
      <c r="H3" s="265" t="n"/>
      <c r="I3" s="265" t="n"/>
      <c r="J3" s="265" t="n"/>
      <c r="K3" s="73" t="n"/>
    </row>
    <row r="4" ht="35.25" customHeight="1" thickBot="1">
      <c r="B4" s="37" t="inlineStr">
        <is>
          <t>雑誌/書籍名</t>
        </is>
      </c>
      <c r="C4" s="149" t="inlineStr">
        <is>
          <t>Steenz</t>
        </is>
      </c>
      <c r="K4" s="73" t="n"/>
    </row>
    <row r="5" ht="36.75" customHeight="1" thickBot="1">
      <c r="B5" s="38" t="inlineStr">
        <is>
          <t>取材テーマ</t>
        </is>
      </c>
      <c r="C5" s="83" t="n"/>
      <c r="F5" s="81" t="inlineStr">
        <is>
          <t>取引先コード</t>
        </is>
      </c>
      <c r="G5" s="13" t="n"/>
      <c r="H5" s="58" t="inlineStr">
        <is>
          <t>請求者</t>
        </is>
      </c>
      <c r="I5" s="201" t="inlineStr">
        <is>
          <t>倉田速音</t>
        </is>
      </c>
      <c r="J5" s="266" t="n"/>
      <c r="K5" s="57" t="n"/>
      <c r="L5" s="119" t="n"/>
    </row>
    <row r="6" ht="36.5" customHeight="1">
      <c r="F6" s="144" t="inlineStr">
        <is>
          <t>インボイス登録番号
※適格請求書発行事業者のみ</t>
        </is>
      </c>
      <c r="G6" s="205" t="n"/>
      <c r="H6" s="267" t="n"/>
      <c r="I6" s="267" t="n"/>
      <c r="J6" s="268" t="n"/>
      <c r="K6" s="73" t="n"/>
    </row>
    <row r="7" ht="18.75" customHeight="1">
      <c r="B7" s="187" t="inlineStr">
        <is>
          <t>下記のとおり御請求申し上げます。</t>
        </is>
      </c>
      <c r="F7" s="195" t="inlineStr">
        <is>
          <t>住所</t>
        </is>
      </c>
      <c r="G7" s="188" t="inlineStr">
        <is>
          <t xml:space="preserve">神奈川県大和市中央林間５丁目７-11　アパルトマン田園　201号室			
			</t>
        </is>
      </c>
      <c r="H7" s="269" t="n"/>
      <c r="I7" s="269" t="n"/>
      <c r="J7" s="270" t="n"/>
      <c r="K7" s="73" t="n"/>
      <c r="O7" s="12" t="n"/>
      <c r="Q7" s="143" t="n"/>
    </row>
    <row r="8" ht="18.75" customHeight="1" thickBot="1">
      <c r="F8" s="271" t="n"/>
      <c r="G8" s="272" t="n"/>
      <c r="H8" s="273" t="n"/>
      <c r="I8" s="273" t="n"/>
      <c r="J8" s="274" t="n"/>
      <c r="K8" s="73" t="n"/>
    </row>
    <row r="9" ht="33" customHeight="1">
      <c r="B9" s="39" t="inlineStr">
        <is>
          <t>請求金額</t>
        </is>
      </c>
      <c r="C9" s="275">
        <f>IF(C11="",C10,C10-C11)</f>
        <v/>
      </c>
      <c r="F9" s="79" t="inlineStr">
        <is>
          <t>振込先
（銀行名/支店名）</t>
        </is>
      </c>
      <c r="G9" s="192" t="inlineStr">
        <is>
          <t>楽天銀行</t>
        </is>
      </c>
      <c r="H9" s="276" t="n"/>
      <c r="I9" s="192" t="inlineStr">
        <is>
          <t>カノン支店</t>
        </is>
      </c>
      <c r="J9" s="276" t="n"/>
      <c r="K9" s="73" t="n"/>
    </row>
    <row r="10" ht="35.25" customHeight="1">
      <c r="B10" s="40" t="inlineStr">
        <is>
          <t>小計</t>
        </is>
      </c>
      <c r="C10" s="90">
        <f>SUM(G37:H41)</f>
        <v/>
      </c>
      <c r="F10" s="40" t="inlineStr">
        <is>
          <t>口座種別/番号</t>
        </is>
      </c>
      <c r="G10" s="82" t="inlineStr">
        <is>
          <t>普通</t>
        </is>
      </c>
      <c r="H10" s="277" t="n">
        <v>2117348</v>
      </c>
      <c r="I10" s="278" t="n"/>
      <c r="J10" s="279" t="n"/>
      <c r="K10" s="73" t="n"/>
    </row>
    <row r="11" ht="36.75" customHeight="1" thickBot="1">
      <c r="B11" s="41" t="inlineStr">
        <is>
          <t>仮払金</t>
        </is>
      </c>
      <c r="C11" s="89" t="n"/>
      <c r="F11" s="80" t="inlineStr">
        <is>
          <t>口座名義
（カタカナ入力）</t>
        </is>
      </c>
      <c r="G11" s="193" t="inlineStr">
        <is>
          <t>クラタ　ハヤト</t>
        </is>
      </c>
      <c r="H11" s="280" t="n"/>
      <c r="I11" s="280" t="n"/>
      <c r="J11" s="281" t="n"/>
      <c r="K11" s="73" t="n"/>
      <c r="O11" s="24" t="n"/>
    </row>
    <row r="12" ht="25.5" customHeight="1">
      <c r="B12" s="59" t="inlineStr">
        <is>
          <t>* 小学館からの仮払がある場合、上の仮払金欄に仮払の額を記入して下さい</t>
        </is>
      </c>
      <c r="C12" s="60" t="n"/>
      <c r="F12" s="61" t="n"/>
      <c r="G12" s="75" t="n"/>
      <c r="I12" s="206" t="inlineStr">
        <is>
          <t>↓プルダウンで選べます</t>
        </is>
      </c>
      <c r="J12" s="282" t="n"/>
      <c r="K12" s="73" t="n"/>
    </row>
    <row r="13" ht="5.25" customHeight="1" thickBot="1">
      <c r="F13" s="25" t="n"/>
      <c r="K13" s="73" t="n"/>
    </row>
    <row r="14" ht="20.25" customHeight="1" thickBot="1">
      <c r="B14" s="42" t="inlineStr">
        <is>
          <t>利用日</t>
        </is>
      </c>
      <c r="C14" s="197" t="inlineStr">
        <is>
          <t>支払先</t>
        </is>
      </c>
      <c r="D14" s="196" t="inlineStr">
        <is>
          <t>摘要</t>
        </is>
      </c>
      <c r="E14" s="283" t="n"/>
      <c r="F14" s="284" t="n"/>
      <c r="G14" s="197" t="inlineStr">
        <is>
          <t>金額</t>
        </is>
      </c>
      <c r="H14" s="284" t="n"/>
      <c r="I14" s="197" t="inlineStr">
        <is>
          <t>税率</t>
        </is>
      </c>
      <c r="J14" s="129" t="inlineStr">
        <is>
          <t>インボイス</t>
        </is>
      </c>
      <c r="K14" s="43" t="inlineStr">
        <is>
          <t>証票番号</t>
        </is>
      </c>
      <c r="L14" s="73" t="n"/>
    </row>
    <row r="15" ht="5.25" customHeight="1" thickBot="1">
      <c r="A15" s="130" t="n">
        <v>45035</v>
      </c>
      <c r="B15" s="186" t="n"/>
      <c r="K15" s="73" t="n"/>
    </row>
    <row r="16" ht="29.25" customHeight="1" thickBot="1">
      <c r="B16" s="14" t="n"/>
      <c r="C16" s="84" t="n"/>
      <c r="D16" s="184" t="n"/>
      <c r="E16" s="285" t="n"/>
      <c r="F16" s="266" t="n"/>
      <c r="G16" s="207" t="n"/>
      <c r="H16" s="266" t="n"/>
      <c r="I16" s="138" t="n"/>
      <c r="J16" s="135" t="n"/>
      <c r="K16" s="151" t="n"/>
      <c r="L16" s="73" t="n"/>
      <c r="M16" s="187" t="b">
        <v>1</v>
      </c>
    </row>
    <row r="17" ht="29.25" customHeight="1">
      <c r="B17" s="16" t="n"/>
      <c r="C17" s="85" t="n"/>
      <c r="D17" s="184" t="n"/>
      <c r="E17" s="285" t="n"/>
      <c r="F17" s="266" t="n"/>
      <c r="G17" s="208" t="n"/>
      <c r="H17" s="276" t="n"/>
      <c r="I17" s="139" t="n"/>
      <c r="J17" s="132" t="n"/>
      <c r="K17" s="152" t="n"/>
      <c r="L17" s="73" t="n"/>
      <c r="M17" s="187" t="b">
        <v>1</v>
      </c>
    </row>
    <row r="18" ht="29.25" customHeight="1">
      <c r="B18" s="16" t="n"/>
      <c r="C18" s="85" t="n"/>
      <c r="D18" s="176" t="n"/>
      <c r="E18" s="278" t="n"/>
      <c r="F18" s="276" t="n"/>
      <c r="G18" s="208" t="n"/>
      <c r="H18" s="276" t="n"/>
      <c r="I18" s="139" t="n"/>
      <c r="J18" s="132" t="n"/>
      <c r="K18" s="152" t="n"/>
      <c r="L18" s="73" t="n"/>
      <c r="M18" s="187" t="b">
        <v>1</v>
      </c>
    </row>
    <row r="19" ht="29.25" customHeight="1">
      <c r="B19" s="16" t="n"/>
      <c r="C19" s="85" t="n"/>
      <c r="D19" s="176" t="n"/>
      <c r="E19" s="278" t="n"/>
      <c r="F19" s="276" t="n"/>
      <c r="G19" s="208" t="n"/>
      <c r="H19" s="276" t="n"/>
      <c r="I19" s="139" t="n"/>
      <c r="J19" s="132" t="n"/>
      <c r="K19" s="152" t="n"/>
      <c r="L19" s="73" t="n"/>
      <c r="M19" s="187" t="b">
        <v>1</v>
      </c>
    </row>
    <row r="20" ht="29.25" customHeight="1">
      <c r="B20" s="16" t="n"/>
      <c r="C20" s="85" t="n"/>
      <c r="D20" s="176" t="n"/>
      <c r="E20" s="278" t="n"/>
      <c r="F20" s="276" t="n"/>
      <c r="G20" s="208" t="n"/>
      <c r="H20" s="276" t="n"/>
      <c r="I20" s="139" t="n"/>
      <c r="J20" s="132" t="n"/>
      <c r="K20" s="152" t="n"/>
      <c r="L20" s="286" t="n"/>
      <c r="M20" s="187" t="b">
        <v>1</v>
      </c>
    </row>
    <row r="21" ht="29.25" customHeight="1">
      <c r="B21" s="16" t="n"/>
      <c r="C21" s="85" t="n"/>
      <c r="D21" s="176" t="n"/>
      <c r="E21" s="278" t="n"/>
      <c r="F21" s="276" t="n"/>
      <c r="G21" s="208" t="n"/>
      <c r="H21" s="276" t="n"/>
      <c r="I21" s="139" t="n"/>
      <c r="J21" s="132" t="n"/>
      <c r="K21" s="152" t="n"/>
      <c r="L21" s="73" t="n"/>
      <c r="M21" s="187" t="b">
        <v>1</v>
      </c>
    </row>
    <row r="22" ht="29.25" customHeight="1">
      <c r="B22" s="154" t="n"/>
      <c r="C22" s="85" t="n"/>
      <c r="D22" s="176" t="n"/>
      <c r="E22" s="278" t="n"/>
      <c r="F22" s="276" t="n"/>
      <c r="G22" s="208" t="n"/>
      <c r="H22" s="276" t="n"/>
      <c r="I22" s="139" t="n"/>
      <c r="J22" s="132" t="n"/>
      <c r="K22" s="152" t="n"/>
      <c r="L22" s="73" t="n"/>
      <c r="M22" s="187" t="b">
        <v>1</v>
      </c>
    </row>
    <row r="23" ht="29.25" customHeight="1">
      <c r="B23" s="154" t="n"/>
      <c r="C23" s="85" t="n"/>
      <c r="D23" s="176" t="n"/>
      <c r="E23" s="278" t="n"/>
      <c r="F23" s="276" t="n"/>
      <c r="G23" s="208" t="n"/>
      <c r="H23" s="276" t="n"/>
      <c r="I23" s="139" t="n"/>
      <c r="J23" s="132" t="n"/>
      <c r="K23" s="152" t="n"/>
      <c r="L23" s="73" t="n"/>
      <c r="M23" s="187" t="b">
        <v>1</v>
      </c>
    </row>
    <row r="24" ht="29.25" customHeight="1">
      <c r="B24" s="154" t="n"/>
      <c r="C24" s="85" t="n"/>
      <c r="D24" s="287" t="n"/>
      <c r="E24" s="278" t="n"/>
      <c r="F24" s="276" t="n"/>
      <c r="G24" s="208" t="n"/>
      <c r="H24" s="276" t="n"/>
      <c r="I24" s="139" t="n"/>
      <c r="J24" s="132" t="n"/>
      <c r="K24" s="152" t="n"/>
      <c r="L24" s="73" t="n"/>
      <c r="M24" s="187" t="b">
        <v>1</v>
      </c>
    </row>
    <row r="25" ht="29.25" customHeight="1">
      <c r="B25" s="154" t="n"/>
      <c r="C25" s="85" t="n"/>
      <c r="D25" s="176" t="n"/>
      <c r="E25" s="278" t="n"/>
      <c r="F25" s="276" t="n"/>
      <c r="G25" s="208" t="n"/>
      <c r="H25" s="276" t="n"/>
      <c r="I25" s="139" t="n"/>
      <c r="J25" s="132" t="n"/>
      <c r="K25" s="152" t="n"/>
      <c r="L25" s="286" t="n"/>
      <c r="M25" s="187" t="b">
        <v>1</v>
      </c>
    </row>
    <row r="26" ht="29.25" customHeight="1">
      <c r="B26" s="154" t="n"/>
      <c r="C26" s="85" t="n"/>
      <c r="D26" s="287" t="n"/>
      <c r="E26" s="278" t="n"/>
      <c r="F26" s="276" t="n"/>
      <c r="G26" s="208" t="n"/>
      <c r="H26" s="276" t="n"/>
      <c r="I26" s="139" t="n"/>
      <c r="J26" s="132" t="n"/>
      <c r="K26" s="152" t="n"/>
      <c r="L26" s="73" t="n"/>
      <c r="M26" s="187" t="b">
        <v>1</v>
      </c>
    </row>
    <row r="27" ht="29.25" customHeight="1">
      <c r="B27" s="154" t="n"/>
      <c r="C27" s="85" t="n"/>
      <c r="D27" s="176" t="n"/>
      <c r="E27" s="278" t="n"/>
      <c r="F27" s="276" t="n"/>
      <c r="G27" s="208" t="n"/>
      <c r="H27" s="276" t="n"/>
      <c r="I27" s="139" t="n"/>
      <c r="J27" s="132" t="n"/>
      <c r="K27" s="152" t="n"/>
      <c r="L27" s="73" t="n"/>
      <c r="M27" s="187" t="b">
        <v>1</v>
      </c>
    </row>
    <row r="28" ht="29.25" customHeight="1">
      <c r="B28" s="18" t="n"/>
      <c r="C28" s="85" t="n"/>
      <c r="D28" s="176" t="n"/>
      <c r="E28" s="278" t="n"/>
      <c r="F28" s="276" t="n"/>
      <c r="G28" s="208" t="n"/>
      <c r="H28" s="276" t="n"/>
      <c r="I28" s="139" t="n"/>
      <c r="J28" s="132" t="n"/>
      <c r="K28" s="152" t="n"/>
      <c r="L28" s="73" t="n"/>
      <c r="M28" s="187" t="b">
        <v>1</v>
      </c>
    </row>
    <row r="29" ht="29.25" customHeight="1">
      <c r="B29" s="18" t="n"/>
      <c r="C29" s="85" t="n"/>
      <c r="D29" s="176" t="n"/>
      <c r="E29" s="278" t="n"/>
      <c r="F29" s="276" t="n"/>
      <c r="G29" s="208" t="n"/>
      <c r="H29" s="276" t="n"/>
      <c r="I29" s="139" t="n"/>
      <c r="J29" s="132" t="n"/>
      <c r="K29" s="152" t="n"/>
      <c r="L29" s="73" t="n"/>
      <c r="M29" s="187" t="b">
        <v>1</v>
      </c>
    </row>
    <row r="30" ht="29.25" customHeight="1">
      <c r="B30" s="18" t="n"/>
      <c r="C30" s="85" t="n"/>
      <c r="D30" s="176" t="n"/>
      <c r="E30" s="278" t="n"/>
      <c r="F30" s="276" t="n"/>
      <c r="G30" s="208" t="n"/>
      <c r="H30" s="276" t="n"/>
      <c r="I30" s="139" t="n"/>
      <c r="J30" s="132" t="n"/>
      <c r="K30" s="152" t="n"/>
      <c r="L30" s="286" t="n"/>
      <c r="M30" s="187" t="b">
        <v>1</v>
      </c>
    </row>
    <row r="31" ht="29.25" customHeight="1">
      <c r="B31" s="18" t="n"/>
      <c r="C31" s="85" t="n"/>
      <c r="D31" s="176" t="n"/>
      <c r="E31" s="278" t="n"/>
      <c r="F31" s="276" t="n"/>
      <c r="G31" s="208" t="n"/>
      <c r="H31" s="276" t="n"/>
      <c r="I31" s="139" t="n"/>
      <c r="J31" s="132" t="n"/>
      <c r="K31" s="152" t="n"/>
      <c r="L31" s="73" t="n"/>
      <c r="M31" s="187" t="b">
        <v>1</v>
      </c>
    </row>
    <row r="32" ht="29.25" customHeight="1">
      <c r="B32" s="18" t="n"/>
      <c r="C32" s="85" t="n"/>
      <c r="D32" s="176" t="n"/>
      <c r="E32" s="278" t="n"/>
      <c r="F32" s="276" t="n"/>
      <c r="G32" s="208" t="n"/>
      <c r="H32" s="276" t="n"/>
      <c r="I32" s="139" t="n"/>
      <c r="J32" s="132" t="n"/>
      <c r="K32" s="152" t="n"/>
      <c r="L32" s="73" t="n"/>
      <c r="M32" s="187" t="b">
        <v>1</v>
      </c>
    </row>
    <row r="33" ht="29.25" customHeight="1">
      <c r="B33" s="18" t="n"/>
      <c r="C33" s="85" t="n"/>
      <c r="D33" s="176" t="n"/>
      <c r="E33" s="278" t="n"/>
      <c r="F33" s="276" t="n"/>
      <c r="G33" s="208" t="n"/>
      <c r="H33" s="276" t="n"/>
      <c r="I33" s="139" t="n"/>
      <c r="J33" s="132" t="n"/>
      <c r="K33" s="152" t="n"/>
      <c r="L33" s="73" t="n"/>
      <c r="M33" s="187" t="b">
        <v>1</v>
      </c>
    </row>
    <row r="34" ht="29.25" customHeight="1">
      <c r="B34" s="18" t="n"/>
      <c r="C34" s="85" t="n"/>
      <c r="D34" s="176" t="n"/>
      <c r="E34" s="278" t="n"/>
      <c r="F34" s="276" t="n"/>
      <c r="G34" s="208" t="n"/>
      <c r="H34" s="276" t="n"/>
      <c r="I34" s="139" t="n"/>
      <c r="J34" s="132" t="n"/>
      <c r="K34" s="152" t="n"/>
      <c r="L34" s="73" t="n"/>
      <c r="M34" s="187" t="b">
        <v>1</v>
      </c>
    </row>
    <row r="35" ht="29.25" customHeight="1" thickBot="1">
      <c r="B35" s="19" t="n"/>
      <c r="C35" s="86" t="n"/>
      <c r="D35" s="177" t="n"/>
      <c r="E35" s="280" t="n"/>
      <c r="F35" s="281" t="n"/>
      <c r="G35" s="209" t="n"/>
      <c r="H35" s="281" t="n"/>
      <c r="I35" s="140" t="n"/>
      <c r="J35" s="133" t="n"/>
      <c r="K35" s="153" t="n"/>
      <c r="L35" s="286" t="n"/>
      <c r="M35" s="187" t="b">
        <v>1</v>
      </c>
    </row>
    <row r="36" ht="5.25" customHeight="1" thickBot="1">
      <c r="B36" s="26" t="n"/>
      <c r="C36" s="26" t="n"/>
      <c r="D36" s="26" t="n"/>
      <c r="E36" s="27" t="n"/>
      <c r="F36" s="111" t="n"/>
      <c r="G36" s="87" t="n"/>
      <c r="H36" s="288">
        <f>ROUND(D36*F36,0)</f>
        <v/>
      </c>
      <c r="I36" s="289" t="n"/>
      <c r="J36" s="290" t="n"/>
      <c r="K36" s="73" t="n"/>
    </row>
    <row r="37" ht="30" customHeight="1">
      <c r="B37" s="62" t="inlineStr">
        <is>
          <t>*使用日より１ヶ月以内に作成し、小学館の担当者に提出してください。</t>
        </is>
      </c>
      <c r="C37" s="63" t="n"/>
      <c r="D37" s="63" t="n"/>
      <c r="E37" s="170" t="inlineStr">
        <is>
          <t>インボイス
登録番号あり</t>
        </is>
      </c>
      <c r="F37" s="44" t="inlineStr">
        <is>
          <t>10%対象合計</t>
        </is>
      </c>
      <c r="G37" s="291">
        <f>SUMIFS(G16:G35,I16:I35,"10%",M16:M35,"TRUE")</f>
        <v/>
      </c>
      <c r="H37" s="292" t="n"/>
      <c r="I37" s="293" t="inlineStr">
        <is>
          <t>(内消費税)</t>
        </is>
      </c>
      <c r="J37" s="294">
        <f>G37/(1+10%)*10%</f>
        <v/>
      </c>
      <c r="K37" s="292" t="n"/>
    </row>
    <row r="38" ht="30" customHeight="1" thickBot="1">
      <c r="B38" s="229" t="inlineStr">
        <is>
          <t>*小学館または雑誌・部署名宛の領収書を必ず添付してください。</t>
        </is>
      </c>
      <c r="C38" s="63" t="n"/>
      <c r="D38" s="63" t="n"/>
      <c r="E38" s="295" t="n"/>
      <c r="F38" s="45" t="inlineStr">
        <is>
          <t>8%対象合計</t>
        </is>
      </c>
      <c r="G38" s="296">
        <f>SUMIFS(G16:G35,I16:I35,"軽減8%",M16:M35,"TRUE")</f>
        <v/>
      </c>
      <c r="H38" s="297" t="n"/>
      <c r="I38" s="298" t="inlineStr">
        <is>
          <t>(内消費税)</t>
        </is>
      </c>
      <c r="J38" s="299">
        <f>G38/(1+8%)*8%</f>
        <v/>
      </c>
      <c r="K38" s="300" t="n"/>
    </row>
    <row r="39" ht="30" customHeight="1">
      <c r="B39" s="66" t="inlineStr">
        <is>
          <t>*領収書の無い請求は不可です。</t>
        </is>
      </c>
      <c r="C39" s="63" t="n"/>
      <c r="D39" s="63" t="n"/>
      <c r="E39" s="170" t="inlineStr">
        <is>
          <t>インボイス
登録番号なし</t>
        </is>
      </c>
      <c r="F39" s="44" t="inlineStr">
        <is>
          <t>10%対象合計</t>
        </is>
      </c>
      <c r="G39" s="291">
        <f>SUMIFS(G16:G35,I16:I35,"10%",M16:M35,"FALSE")</f>
        <v/>
      </c>
      <c r="H39" s="292" t="n"/>
      <c r="I39" s="293" t="inlineStr">
        <is>
          <t>(内消費税)</t>
        </is>
      </c>
      <c r="J39" s="294">
        <f>G39/(1+10%)*10%</f>
        <v/>
      </c>
      <c r="K39" s="292" t="n"/>
      <c r="L39" s="301" t="n"/>
    </row>
    <row r="40" ht="30" customHeight="1" thickBot="1">
      <c r="B40" s="229" t="inlineStr">
        <is>
          <t>*宿泊代は、領収書の他に明細書も必ず添付してください。</t>
        </is>
      </c>
      <c r="C40" s="63" t="n"/>
      <c r="D40" s="63" t="n"/>
      <c r="E40" s="295" t="n"/>
      <c r="F40" s="45" t="inlineStr">
        <is>
          <t>8%対象合計</t>
        </is>
      </c>
      <c r="G40" s="296">
        <f>SUMIFS(G16:G35,I16:I35,"軽減8%",M16:M35,"FALSE")</f>
        <v/>
      </c>
      <c r="H40" s="297" t="n"/>
      <c r="I40" s="298" t="inlineStr">
        <is>
          <t>(内消費税)</t>
        </is>
      </c>
      <c r="J40" s="299">
        <f>G40/(1+8%)*8%</f>
        <v/>
      </c>
      <c r="K40" s="300" t="n"/>
    </row>
    <row r="41" ht="27" customHeight="1" thickBot="1">
      <c r="B41" s="229" t="inlineStr">
        <is>
          <t>（宿泊費・通信費以外は認められません）</t>
        </is>
      </c>
      <c r="C41" s="63" t="n"/>
      <c r="D41" s="63" t="n"/>
      <c r="E41" s="302" t="inlineStr">
        <is>
          <t>非/不課税合計</t>
        </is>
      </c>
      <c r="F41" s="284" t="n"/>
      <c r="G41" s="303">
        <f>SUMIF(I16:I35,"非/不課税",G16:H35)</f>
        <v/>
      </c>
      <c r="H41" s="284" t="n"/>
      <c r="I41" s="304" t="n"/>
      <c r="J41" s="305" t="n"/>
      <c r="K41" s="148" t="n"/>
    </row>
    <row r="42" ht="23.5" customHeight="1">
      <c r="B42" s="66" t="inlineStr">
        <is>
          <t>*軽減税率対象（８％）、課税対象外(非課税/不課税)のお支払がある場合、10%のものと区別がつくように明記をお願いします。</t>
        </is>
      </c>
      <c r="C42" s="63" t="n"/>
      <c r="D42" s="63" t="n"/>
      <c r="E42" s="63" t="n"/>
      <c r="G42" s="77" t="n"/>
      <c r="H42" s="301" t="n"/>
      <c r="I42" s="65" t="n"/>
      <c r="J42" s="306" t="n"/>
      <c r="K42" s="73" t="n"/>
    </row>
    <row r="43" ht="27.5" customHeight="1">
      <c r="B43" s="67" t="inlineStr">
        <is>
          <t>→1枚の領収書（同支払先）で税率の異なるお支払がある場合は行を分けての入力をお願いします。</t>
        </is>
      </c>
      <c r="C43" s="63" t="n"/>
      <c r="D43" s="63" t="n"/>
      <c r="E43" s="63" t="n"/>
      <c r="G43" s="77" t="n"/>
      <c r="H43" s="301" t="n"/>
      <c r="I43" s="301" t="n"/>
      <c r="J43" s="306" t="n"/>
      <c r="K43" s="73" t="n"/>
    </row>
    <row r="44" ht="18.75" customHeight="1">
      <c r="B44" s="66" t="inlineStr">
        <is>
          <t>*適格請求書発行事業者以外へのお支払いについては「インボイス」欄のチェックを外してください。</t>
        </is>
      </c>
      <c r="C44" s="63" t="n"/>
      <c r="D44" s="63" t="n"/>
      <c r="E44" s="63" t="n"/>
      <c r="G44" s="77" t="n"/>
      <c r="H44" s="301" t="n"/>
      <c r="I44" s="301" t="n"/>
      <c r="J44" s="306" t="n"/>
      <c r="K44" s="73" t="n"/>
    </row>
    <row r="45" ht="18.75" customHeight="1">
      <c r="B45" s="114" t="inlineStr">
        <is>
          <t>※その他請求時の注意</t>
        </is>
      </c>
      <c r="C45" s="63" t="n"/>
      <c r="D45" s="63" t="n"/>
      <c r="E45" s="63" t="n"/>
      <c r="G45" s="77" t="n"/>
      <c r="H45" s="307" t="n"/>
      <c r="I45" s="301" t="n"/>
      <c r="J45" s="306" t="n"/>
      <c r="K45" s="73" t="n"/>
    </row>
    <row r="46" hidden="1" ht="22.5" customHeight="1">
      <c r="C46" s="63" t="n"/>
      <c r="D46" s="63" t="n"/>
      <c r="E46" s="63" t="n"/>
      <c r="F46" s="128" t="n">
        <v>0.1</v>
      </c>
      <c r="I46" s="307" t="n"/>
      <c r="J46" s="306" t="n"/>
      <c r="K46" s="73" t="n"/>
    </row>
    <row r="47" hidden="1">
      <c r="B47" s="33" t="n"/>
      <c r="E47" s="33" t="inlineStr">
        <is>
          <t>普通</t>
        </is>
      </c>
      <c r="F47" s="187" t="inlineStr">
        <is>
          <t>軽減8%</t>
        </is>
      </c>
    </row>
    <row r="48" hidden="1">
      <c r="B48" s="33" t="n"/>
      <c r="E48" s="33" t="inlineStr">
        <is>
          <t>当座</t>
        </is>
      </c>
      <c r="F48" s="187" t="inlineStr">
        <is>
          <t>非/不課税</t>
        </is>
      </c>
    </row>
    <row r="49">
      <c r="B49" s="33" t="n"/>
      <c r="E49" s="33" t="n"/>
    </row>
    <row r="50">
      <c r="B50" s="33" t="n"/>
      <c r="E50" s="33" t="n"/>
    </row>
  </sheetData>
  <mergeCells count="67">
    <mergeCell ref="J39:K39"/>
    <mergeCell ref="G21:H21"/>
    <mergeCell ref="E39:E40"/>
    <mergeCell ref="D27:F27"/>
    <mergeCell ref="B7:C7"/>
    <mergeCell ref="J38:K38"/>
    <mergeCell ref="D32:F32"/>
    <mergeCell ref="G27:H27"/>
    <mergeCell ref="D17:F17"/>
    <mergeCell ref="J37:K37"/>
    <mergeCell ref="G23:H23"/>
    <mergeCell ref="G7:J8"/>
    <mergeCell ref="D16:F16"/>
    <mergeCell ref="G17:H17"/>
    <mergeCell ref="G39:H39"/>
    <mergeCell ref="J40:K40"/>
    <mergeCell ref="D21:F21"/>
    <mergeCell ref="F3:J3"/>
    <mergeCell ref="D28:F28"/>
    <mergeCell ref="G38:H38"/>
    <mergeCell ref="G19:H19"/>
    <mergeCell ref="D18:F18"/>
    <mergeCell ref="G37:H37"/>
    <mergeCell ref="G28:H28"/>
    <mergeCell ref="G11:J11"/>
    <mergeCell ref="G18:H18"/>
    <mergeCell ref="D25:F25"/>
    <mergeCell ref="D30:F30"/>
    <mergeCell ref="D33:F33"/>
    <mergeCell ref="D24:F24"/>
    <mergeCell ref="B15:J15"/>
    <mergeCell ref="G34:H34"/>
    <mergeCell ref="D14:F14"/>
    <mergeCell ref="I12:J12"/>
    <mergeCell ref="D29:F29"/>
    <mergeCell ref="G30:H30"/>
    <mergeCell ref="G24:H24"/>
    <mergeCell ref="D23:F23"/>
    <mergeCell ref="G33:H33"/>
    <mergeCell ref="D35:F35"/>
    <mergeCell ref="I5:J5"/>
    <mergeCell ref="G14:H14"/>
    <mergeCell ref="D26:F26"/>
    <mergeCell ref="D20:F20"/>
    <mergeCell ref="G26:H26"/>
    <mergeCell ref="I1:J1"/>
    <mergeCell ref="D34:F34"/>
    <mergeCell ref="G35:H35"/>
    <mergeCell ref="G29:H29"/>
    <mergeCell ref="G6:J6"/>
    <mergeCell ref="G20:H20"/>
    <mergeCell ref="H10:J10"/>
    <mergeCell ref="D19:F19"/>
    <mergeCell ref="G16:H16"/>
    <mergeCell ref="G32:H32"/>
    <mergeCell ref="D31:F31"/>
    <mergeCell ref="G25:H25"/>
    <mergeCell ref="D22:F22"/>
    <mergeCell ref="E41:F41"/>
    <mergeCell ref="G41:H41"/>
    <mergeCell ref="G31:H31"/>
    <mergeCell ref="E37:E38"/>
    <mergeCell ref="F7:F8"/>
    <mergeCell ref="G22:H22"/>
    <mergeCell ref="G40:H40"/>
    <mergeCell ref="G9:H9"/>
    <mergeCell ref="I9:J9"/>
  </mergeCells>
  <dataValidations xWindow="573" yWindow="523" count="2">
    <dataValidation sqref="G10" showDropDown="0" showInputMessage="1" showErrorMessage="1" allowBlank="1" prompt="口座種類を選択して下さい。" type="list">
      <formula1>$E$47:$E$48</formula1>
    </dataValidation>
    <dataValidation sqref="I16:I35" showDropDown="0" showInputMessage="1" showErrorMessage="1" allowBlank="1" type="list">
      <formula1>$F$46:$F$48</formula1>
    </dataValidation>
  </dataValidations>
  <hyperlinks>
    <hyperlink ref="B45" location="請求時の注意!A1" display="その他請求時の注意"/>
  </hyperlinks>
  <pageMargins left="0.7086614173228347" right="0.5118110236220472" top="0.7480314960629921" bottom="0.7480314960629921" header="0.3149606299212598" footer="0.3149606299212598"/>
  <pageSetup orientation="portrait" paperSize="9" scale="57" horizontalDpi="1200" verticalDpi="1200"/>
  <legacyDrawing xmlns:r="http://schemas.openxmlformats.org/officeDocument/2006/relationships" r:id="anysvml"/>
</worksheet>
</file>

<file path=xl/worksheets/sheet2.xml><?xml version="1.0" encoding="utf-8"?>
<worksheet xmlns="http://schemas.openxmlformats.org/spreadsheetml/2006/main">
  <sheetPr codeName="Sheet1">
    <outlinePr summaryBelow="1" summaryRight="1"/>
    <pageSetUpPr fitToPage="1"/>
  </sheetPr>
  <dimension ref="B1:P46"/>
  <sheetViews>
    <sheetView tabSelected="1" zoomScale="112" zoomScaleNormal="80" workbookViewId="0">
      <selection activeCell="R17" sqref="R17"/>
    </sheetView>
  </sheetViews>
  <sheetFormatPr baseColWidth="10" defaultColWidth="9" defaultRowHeight="16"/>
  <cols>
    <col width="1" customWidth="1" style="187" min="1" max="1"/>
    <col width="11.33203125" customWidth="1" style="187" min="2" max="2"/>
    <col width="5.5" customWidth="1" style="187" min="3" max="3"/>
    <col width="7.5" customWidth="1" style="187" min="4" max="4"/>
    <col width="4" customWidth="1" style="187" min="5" max="5"/>
    <col width="7.5" customWidth="1" style="187" min="6" max="6"/>
    <col width="18" customWidth="1" style="187" min="7" max="7"/>
    <col width="20.33203125" customWidth="1" style="187" min="8" max="8"/>
    <col width="12.33203125" bestFit="1" customWidth="1" style="187" min="9" max="9"/>
    <col width="12.33203125" customWidth="1" style="187" min="10" max="10"/>
    <col width="6.6640625" customWidth="1" style="187" min="11" max="11"/>
    <col width="9.6640625" customWidth="1" style="187" min="12" max="12"/>
    <col width="9.6640625" bestFit="1" customWidth="1" style="187" min="13" max="13"/>
    <col width="9" customWidth="1" style="187" min="14" max="14"/>
    <col hidden="1" style="187" min="15" max="15"/>
    <col width="9" customWidth="1" style="187" min="16" max="16"/>
    <col width="11.5" bestFit="1" customWidth="1" style="187" min="17" max="17"/>
    <col width="9" customWidth="1" style="187" min="18" max="16384"/>
  </cols>
  <sheetData>
    <row r="1" ht="18.75" customHeight="1" thickBot="1">
      <c r="K1" s="21" t="inlineStr">
        <is>
          <t>請求日</t>
        </is>
      </c>
      <c r="L1" s="185" t="n"/>
    </row>
    <row r="2" ht="10.5" customHeight="1" thickBot="1"/>
    <row r="3" ht="29.5" customHeight="1" thickBot="1">
      <c r="B3" s="46" t="inlineStr">
        <is>
          <t>局名</t>
        </is>
      </c>
      <c r="C3" s="308" t="inlineStr">
        <is>
          <t>NEWSポストセブン編集部</t>
        </is>
      </c>
      <c r="D3" s="309" t="n"/>
      <c r="E3" s="309" t="n"/>
      <c r="F3" s="310" t="n"/>
      <c r="G3" s="34" t="n"/>
      <c r="H3" s="22" t="n"/>
      <c r="I3" s="191" t="inlineStr">
        <is>
          <t>小学館宛　取材交通費請求明細</t>
        </is>
      </c>
      <c r="J3" s="265" t="n"/>
      <c r="K3" s="265" t="n"/>
      <c r="L3" s="265" t="n"/>
      <c r="M3" s="119" t="n"/>
    </row>
    <row r="4" ht="29.5" customHeight="1" thickBot="1">
      <c r="B4" s="47" t="inlineStr">
        <is>
          <t>雑誌/書籍名</t>
        </is>
      </c>
      <c r="C4" s="311" t="inlineStr">
        <is>
          <t>Steenz</t>
        </is>
      </c>
      <c r="D4" s="267" t="n"/>
      <c r="E4" s="267" t="n"/>
      <c r="F4" s="268" t="n"/>
      <c r="G4" s="229" t="n"/>
      <c r="M4" s="119" t="n"/>
    </row>
    <row r="5" ht="29.5" customHeight="1" thickBot="1">
      <c r="B5" s="48" t="inlineStr">
        <is>
          <t>取材テーマ</t>
        </is>
      </c>
      <c r="C5" s="312" t="n"/>
      <c r="D5" s="313" t="n"/>
      <c r="E5" s="313" t="n"/>
      <c r="F5" s="314" t="n"/>
      <c r="H5" s="81" t="inlineStr">
        <is>
          <t>取引先コード</t>
        </is>
      </c>
      <c r="I5" s="13" t="n"/>
      <c r="J5" s="134" t="inlineStr">
        <is>
          <t>請求者</t>
        </is>
      </c>
      <c r="K5" s="201" t="inlineStr">
        <is>
          <t>倉田速音</t>
        </is>
      </c>
      <c r="L5" s="266" t="n"/>
      <c r="M5" s="93" t="n"/>
      <c r="N5" s="119" t="n"/>
    </row>
    <row r="6" ht="31.5" customHeight="1">
      <c r="H6" s="144" t="inlineStr">
        <is>
          <t>インボイス登録番号
※適格発行事業者のみ</t>
        </is>
      </c>
      <c r="I6" s="205" t="n"/>
      <c r="J6" s="267" t="n"/>
      <c r="K6" s="267" t="n"/>
      <c r="L6" s="268" t="n"/>
    </row>
    <row r="7" ht="18.75" customHeight="1">
      <c r="B7" s="229" t="inlineStr">
        <is>
          <t>下記のとおり御請求申し上げます。</t>
        </is>
      </c>
      <c r="G7" s="229" t="n"/>
      <c r="H7" s="195" t="inlineStr">
        <is>
          <t>住所</t>
        </is>
      </c>
      <c r="I7" s="188" t="inlineStr">
        <is>
          <t xml:space="preserve">"神奈川県大和市中央林間５丁目７-11　アパルトマン田園　201号室			
			"			
			</t>
        </is>
      </c>
      <c r="J7" s="269" t="n"/>
      <c r="K7" s="269" t="n"/>
      <c r="L7" s="270" t="n"/>
      <c r="P7" s="12" t="n"/>
    </row>
    <row r="8" ht="18.75" customHeight="1" thickBot="1">
      <c r="H8" s="271" t="n"/>
      <c r="I8" s="272" t="n"/>
      <c r="J8" s="273" t="n"/>
      <c r="K8" s="273" t="n"/>
      <c r="L8" s="274" t="n"/>
    </row>
    <row r="9" ht="33" customHeight="1">
      <c r="B9" s="49" t="inlineStr">
        <is>
          <t>請求額</t>
        </is>
      </c>
      <c r="C9" s="315">
        <f>IF(C11="",C10,C10-C11)</f>
        <v/>
      </c>
      <c r="D9" s="309" t="n"/>
      <c r="E9" s="309" t="n"/>
      <c r="F9" s="292" t="n"/>
      <c r="G9" s="94" t="n"/>
      <c r="H9" s="79" t="inlineStr">
        <is>
          <t>振込先
（銀行名/支店名）</t>
        </is>
      </c>
      <c r="I9" s="192" t="inlineStr">
        <is>
          <t>楽天銀行</t>
        </is>
      </c>
      <c r="J9" s="276" t="n"/>
      <c r="K9" s="192" t="inlineStr">
        <is>
          <t>カノン支店</t>
        </is>
      </c>
      <c r="L9" s="276" t="n"/>
    </row>
    <row r="10" ht="31.5" customHeight="1">
      <c r="B10" s="40" t="inlineStr">
        <is>
          <t>小計</t>
        </is>
      </c>
      <c r="C10" s="227">
        <f>SUM(J37:K38)</f>
        <v/>
      </c>
      <c r="D10" s="267" t="n"/>
      <c r="E10" s="267" t="n"/>
      <c r="F10" s="316" t="n"/>
      <c r="G10" s="95" t="n"/>
      <c r="H10" s="40" t="inlineStr">
        <is>
          <t>口座種別/番号</t>
        </is>
      </c>
      <c r="I10" s="82" t="inlineStr">
        <is>
          <t>普通</t>
        </is>
      </c>
      <c r="J10" s="277" t="n">
        <v>2117348</v>
      </c>
      <c r="K10" s="278" t="n"/>
      <c r="L10" s="279" t="n"/>
    </row>
    <row r="11" ht="31.5" customHeight="1" thickBot="1">
      <c r="B11" s="50" t="inlineStr">
        <is>
          <t>仮払金</t>
        </is>
      </c>
      <c r="C11" s="222" t="n"/>
      <c r="D11" s="313" t="n"/>
      <c r="E11" s="313" t="n"/>
      <c r="F11" s="297" t="n"/>
      <c r="G11" s="95" t="n"/>
      <c r="H11" s="80" t="inlineStr">
        <is>
          <t>口座名義
（カタカナ入力）</t>
        </is>
      </c>
      <c r="I11" s="193" t="inlineStr">
        <is>
          <t>クラタ　ハヤト</t>
        </is>
      </c>
      <c r="J11" s="280" t="n"/>
      <c r="K11" s="280" t="n"/>
      <c r="L11" s="281" t="n"/>
      <c r="P11" s="24" t="n"/>
    </row>
    <row r="12" ht="25.5" customHeight="1">
      <c r="B12" s="59" t="inlineStr">
        <is>
          <t>* 小学館からの仮払がある場合、上の仮払金欄に仮払の額を記入して下さい</t>
        </is>
      </c>
      <c r="C12" s="59" t="n"/>
      <c r="D12" s="59" t="n"/>
      <c r="E12" s="59" t="n"/>
      <c r="F12" s="96" t="n"/>
      <c r="G12" s="96" t="n"/>
      <c r="I12" s="97" t="n"/>
      <c r="J12" s="97" t="n"/>
      <c r="K12" s="97" t="n"/>
      <c r="L12" s="97" t="n"/>
      <c r="M12" s="119" t="n"/>
    </row>
    <row r="13" ht="5.25" customHeight="1" thickBot="1">
      <c r="M13" s="119" t="n"/>
    </row>
    <row r="14" ht="28" customHeight="1" thickBot="1">
      <c r="B14" s="42" t="inlineStr">
        <is>
          <t>利用日</t>
        </is>
      </c>
      <c r="C14" s="197" t="inlineStr">
        <is>
          <t>手段</t>
        </is>
      </c>
      <c r="D14" s="197" t="inlineStr">
        <is>
          <t>区間</t>
        </is>
      </c>
      <c r="E14" s="283" t="n"/>
      <c r="F14" s="284" t="n"/>
      <c r="G14" s="197" t="inlineStr">
        <is>
          <t>訪問先</t>
        </is>
      </c>
      <c r="H14" s="224" t="inlineStr">
        <is>
          <t>摘要</t>
        </is>
      </c>
      <c r="I14" s="284" t="n"/>
      <c r="J14" s="197" t="inlineStr">
        <is>
          <t>金額</t>
        </is>
      </c>
      <c r="K14" s="284" t="n"/>
      <c r="L14" s="129" t="inlineStr">
        <is>
          <t>インボイス</t>
        </is>
      </c>
      <c r="M14" s="43" t="inlineStr">
        <is>
          <t>証票番号</t>
        </is>
      </c>
      <c r="N14" s="119" t="n"/>
    </row>
    <row r="15" ht="5.25" customHeight="1" thickBot="1">
      <c r="M15" s="35" t="n"/>
      <c r="N15" s="119" t="n"/>
    </row>
    <row r="16" ht="33.75" customHeight="1">
      <c r="B16" s="14" t="n"/>
      <c r="C16" s="155" t="n"/>
      <c r="D16" s="156" t="n"/>
      <c r="E16" s="157" t="n"/>
      <c r="F16" s="158" t="n"/>
      <c r="G16" s="159" t="n"/>
      <c r="H16" s="220" t="n"/>
      <c r="I16" s="317" t="n"/>
      <c r="J16" s="221" t="n"/>
      <c r="K16" s="317" t="n"/>
      <c r="L16" s="135" t="n"/>
      <c r="M16" s="99" t="n">
        <v>1</v>
      </c>
      <c r="N16" s="119" t="n"/>
      <c r="O16" s="187" t="b">
        <v>1</v>
      </c>
    </row>
    <row r="17" ht="33.75" customHeight="1">
      <c r="B17" s="16" t="n"/>
      <c r="C17" s="100" t="n"/>
      <c r="D17" s="101" t="n"/>
      <c r="E17" s="102" t="n"/>
      <c r="F17" s="103" t="n"/>
      <c r="G17" s="160" t="n"/>
      <c r="H17" s="212" t="n"/>
      <c r="I17" s="276" t="n"/>
      <c r="J17" s="213" t="n"/>
      <c r="K17" s="276" t="n"/>
      <c r="L17" s="132" t="n"/>
      <c r="M17" s="104" t="n">
        <v>2</v>
      </c>
      <c r="N17" s="119" t="n"/>
      <c r="O17" s="187" t="b">
        <v>1</v>
      </c>
    </row>
    <row r="18" ht="33.75" customHeight="1">
      <c r="B18" s="16" t="n"/>
      <c r="C18" s="100" t="n"/>
      <c r="D18" s="101" t="n"/>
      <c r="E18" s="102" t="n"/>
      <c r="F18" s="103" t="n"/>
      <c r="G18" s="100" t="n"/>
      <c r="H18" s="212" t="n"/>
      <c r="I18" s="276" t="n"/>
      <c r="J18" s="213" t="n"/>
      <c r="K18" s="276" t="n"/>
      <c r="L18" s="132" t="n"/>
      <c r="M18" s="104" t="n">
        <v>3</v>
      </c>
      <c r="N18" s="119" t="n"/>
      <c r="O18" s="187" t="b">
        <v>1</v>
      </c>
    </row>
    <row r="19" ht="33.75" customHeight="1">
      <c r="B19" s="16" t="n"/>
      <c r="C19" s="100" t="n"/>
      <c r="D19" s="101" t="n"/>
      <c r="E19" s="102" t="n"/>
      <c r="F19" s="103" t="n"/>
      <c r="G19" s="100" t="n"/>
      <c r="H19" s="212" t="n"/>
      <c r="I19" s="276" t="n"/>
      <c r="J19" s="213" t="n"/>
      <c r="K19" s="276" t="n"/>
      <c r="L19" s="132" t="n"/>
      <c r="M19" s="104" t="n">
        <v>4</v>
      </c>
      <c r="N19" s="119" t="n"/>
      <c r="O19" s="187" t="b">
        <v>1</v>
      </c>
    </row>
    <row r="20" ht="33.75" customHeight="1">
      <c r="B20" s="16" t="n"/>
      <c r="C20" s="100" t="n"/>
      <c r="D20" s="101" t="n"/>
      <c r="E20" s="102" t="n"/>
      <c r="F20" s="103" t="n"/>
      <c r="G20" s="160" t="n"/>
      <c r="H20" s="212" t="n"/>
      <c r="I20" s="276" t="n"/>
      <c r="J20" s="213" t="n"/>
      <c r="K20" s="276" t="n"/>
      <c r="L20" s="132" t="n"/>
      <c r="M20" s="104" t="n">
        <v>5</v>
      </c>
      <c r="N20" s="318" t="n"/>
      <c r="O20" s="187" t="b">
        <v>1</v>
      </c>
    </row>
    <row r="21" ht="33.75" customHeight="1">
      <c r="B21" s="16" t="n"/>
      <c r="C21" s="100" t="n"/>
      <c r="D21" s="101" t="n"/>
      <c r="E21" s="102" t="n"/>
      <c r="F21" s="103" t="n"/>
      <c r="G21" s="160" t="n"/>
      <c r="H21" s="212" t="n"/>
      <c r="I21" s="276" t="n"/>
      <c r="J21" s="213" t="n"/>
      <c r="K21" s="276" t="n"/>
      <c r="L21" s="132" t="n"/>
      <c r="M21" s="104" t="n">
        <v>6</v>
      </c>
      <c r="N21" s="119" t="n"/>
      <c r="O21" s="187" t="b">
        <v>1</v>
      </c>
    </row>
    <row r="22" ht="33.75" customHeight="1">
      <c r="B22" s="16" t="n"/>
      <c r="C22" s="100" t="n"/>
      <c r="D22" s="101" t="n"/>
      <c r="E22" s="102" t="n"/>
      <c r="F22" s="103" t="n"/>
      <c r="G22" s="100" t="n"/>
      <c r="H22" s="212" t="n"/>
      <c r="I22" s="276" t="n"/>
      <c r="J22" s="213" t="n"/>
      <c r="K22" s="276" t="n"/>
      <c r="L22" s="132" t="n"/>
      <c r="M22" s="104" t="n">
        <v>7</v>
      </c>
      <c r="N22" s="119" t="n"/>
      <c r="O22" s="187" t="b">
        <v>1</v>
      </c>
    </row>
    <row r="23" ht="33.75" customHeight="1">
      <c r="B23" s="16" t="n"/>
      <c r="C23" s="100" t="n"/>
      <c r="D23" s="101" t="n"/>
      <c r="E23" s="102" t="n"/>
      <c r="F23" s="103" t="n"/>
      <c r="G23" s="100" t="n"/>
      <c r="H23" s="212" t="n"/>
      <c r="I23" s="276" t="n"/>
      <c r="J23" s="213" t="n"/>
      <c r="K23" s="276" t="n"/>
      <c r="L23" s="132" t="n"/>
      <c r="M23" s="104" t="n">
        <v>8</v>
      </c>
      <c r="N23" s="119" t="n"/>
      <c r="O23" s="187" t="b">
        <v>1</v>
      </c>
    </row>
    <row r="24" ht="33.75" customHeight="1">
      <c r="B24" s="16" t="n"/>
      <c r="C24" s="100" t="n"/>
      <c r="D24" s="101" t="n"/>
      <c r="E24" s="102" t="n"/>
      <c r="F24" s="103" t="n"/>
      <c r="G24" s="100" t="n"/>
      <c r="H24" s="212" t="n"/>
      <c r="I24" s="276" t="n"/>
      <c r="J24" s="213" t="n"/>
      <c r="K24" s="276" t="n"/>
      <c r="L24" s="132" t="n"/>
      <c r="M24" s="104" t="n">
        <v>9</v>
      </c>
      <c r="N24" s="119" t="n"/>
      <c r="O24" s="187" t="b">
        <v>1</v>
      </c>
    </row>
    <row r="25" ht="33.75" customHeight="1">
      <c r="B25" s="16" t="n"/>
      <c r="C25" s="100" t="n"/>
      <c r="D25" s="101" t="n"/>
      <c r="E25" s="102" t="n"/>
      <c r="F25" s="103" t="n"/>
      <c r="G25" s="100" t="n"/>
      <c r="H25" s="212" t="n"/>
      <c r="I25" s="276" t="n"/>
      <c r="J25" s="213" t="n"/>
      <c r="K25" s="276" t="n"/>
      <c r="L25" s="132" t="n"/>
      <c r="M25" s="104" t="n">
        <v>10</v>
      </c>
      <c r="N25" s="318" t="n"/>
      <c r="O25" s="187" t="b">
        <v>1</v>
      </c>
    </row>
    <row r="26" ht="33.75" customHeight="1">
      <c r="B26" s="16" t="n"/>
      <c r="C26" s="100" t="n"/>
      <c r="D26" s="101" t="n"/>
      <c r="E26" s="102" t="n"/>
      <c r="F26" s="103" t="n"/>
      <c r="G26" s="100" t="n"/>
      <c r="H26" s="212" t="n"/>
      <c r="I26" s="276" t="n"/>
      <c r="J26" s="213" t="n"/>
      <c r="K26" s="276" t="n"/>
      <c r="L26" s="132" t="n"/>
      <c r="M26" s="104" t="n">
        <v>11</v>
      </c>
      <c r="N26" s="119" t="n"/>
      <c r="O26" s="187" t="b">
        <v>1</v>
      </c>
    </row>
    <row r="27" ht="33.75" customHeight="1">
      <c r="B27" s="16" t="n"/>
      <c r="C27" s="100" t="n"/>
      <c r="D27" s="101" t="n"/>
      <c r="E27" s="102" t="n"/>
      <c r="F27" s="103" t="n"/>
      <c r="G27" s="100" t="n"/>
      <c r="H27" s="212" t="n"/>
      <c r="I27" s="276" t="n"/>
      <c r="J27" s="213" t="n"/>
      <c r="K27" s="276" t="n"/>
      <c r="L27" s="132" t="n"/>
      <c r="M27" s="104" t="n">
        <v>12</v>
      </c>
      <c r="N27" s="119" t="n"/>
      <c r="O27" s="187" t="b">
        <v>1</v>
      </c>
    </row>
    <row r="28" ht="33.75" customHeight="1">
      <c r="B28" s="16" t="n"/>
      <c r="C28" s="100" t="n"/>
      <c r="D28" s="101" t="n"/>
      <c r="E28" s="102" t="n"/>
      <c r="F28" s="103" t="n"/>
      <c r="G28" s="100" t="n"/>
      <c r="H28" s="212" t="n"/>
      <c r="I28" s="276" t="n"/>
      <c r="J28" s="213" t="n"/>
      <c r="K28" s="276" t="n"/>
      <c r="L28" s="132" t="n"/>
      <c r="M28" s="104" t="n">
        <v>13</v>
      </c>
      <c r="N28" s="119" t="n"/>
      <c r="O28" s="187" t="b">
        <v>1</v>
      </c>
    </row>
    <row r="29" ht="33.75" customHeight="1">
      <c r="B29" s="16" t="n"/>
      <c r="C29" s="100" t="n"/>
      <c r="D29" s="101" t="n"/>
      <c r="E29" s="102" t="n"/>
      <c r="F29" s="103" t="n"/>
      <c r="G29" s="100" t="n"/>
      <c r="H29" s="212" t="n"/>
      <c r="I29" s="276" t="n"/>
      <c r="J29" s="213" t="n"/>
      <c r="K29" s="276" t="n"/>
      <c r="L29" s="132" t="n"/>
      <c r="M29" s="104" t="n">
        <v>14</v>
      </c>
      <c r="N29" s="119" t="n"/>
      <c r="O29" s="187" t="b">
        <v>1</v>
      </c>
    </row>
    <row r="30" ht="33.75" customHeight="1">
      <c r="B30" s="16" t="n"/>
      <c r="C30" s="100" t="n"/>
      <c r="D30" s="101" t="n"/>
      <c r="E30" s="102" t="n"/>
      <c r="F30" s="103" t="n"/>
      <c r="G30" s="100" t="n"/>
      <c r="H30" s="212" t="n"/>
      <c r="I30" s="276" t="n"/>
      <c r="J30" s="213" t="n"/>
      <c r="K30" s="276" t="n"/>
      <c r="L30" s="132" t="n"/>
      <c r="M30" s="104" t="n">
        <v>15</v>
      </c>
      <c r="N30" s="318" t="n"/>
      <c r="O30" s="187" t="b">
        <v>1</v>
      </c>
    </row>
    <row r="31" ht="33.75" customHeight="1">
      <c r="B31" s="16" t="n"/>
      <c r="C31" s="100" t="n"/>
      <c r="D31" s="101" t="n"/>
      <c r="E31" s="102" t="n"/>
      <c r="F31" s="103" t="n"/>
      <c r="G31" s="100" t="n"/>
      <c r="H31" s="212" t="n"/>
      <c r="I31" s="276" t="n"/>
      <c r="J31" s="213" t="n"/>
      <c r="K31" s="276" t="n"/>
      <c r="L31" s="132" t="n"/>
      <c r="M31" s="104" t="n">
        <v>16</v>
      </c>
      <c r="N31" s="119" t="n"/>
      <c r="O31" s="187" t="b">
        <v>1</v>
      </c>
    </row>
    <row r="32" ht="33.75" customHeight="1">
      <c r="B32" s="16" t="n"/>
      <c r="C32" s="100" t="n"/>
      <c r="D32" s="101" t="n"/>
      <c r="E32" s="102" t="n"/>
      <c r="F32" s="103" t="n"/>
      <c r="G32" s="100" t="n"/>
      <c r="H32" s="212" t="n"/>
      <c r="I32" s="276" t="n"/>
      <c r="J32" s="213" t="n"/>
      <c r="K32" s="276" t="n"/>
      <c r="L32" s="132" t="n"/>
      <c r="M32" s="104" t="n">
        <v>17</v>
      </c>
      <c r="N32" s="119" t="n"/>
      <c r="O32" s="187" t="b">
        <v>1</v>
      </c>
    </row>
    <row r="33" ht="33.75" customHeight="1">
      <c r="B33" s="16" t="n"/>
      <c r="C33" s="100" t="n"/>
      <c r="D33" s="101" t="n"/>
      <c r="E33" s="102" t="n"/>
      <c r="F33" s="103" t="n"/>
      <c r="G33" s="100" t="n"/>
      <c r="H33" s="212" t="n"/>
      <c r="I33" s="276" t="n"/>
      <c r="J33" s="213" t="n"/>
      <c r="K33" s="276" t="n"/>
      <c r="L33" s="132" t="n"/>
      <c r="M33" s="104" t="n">
        <v>18</v>
      </c>
      <c r="N33" s="119" t="n"/>
      <c r="O33" s="187" t="b">
        <v>1</v>
      </c>
    </row>
    <row r="34" ht="33.75" customHeight="1">
      <c r="B34" s="16" t="n"/>
      <c r="C34" s="100" t="n"/>
      <c r="D34" s="101" t="n"/>
      <c r="E34" s="102" t="n"/>
      <c r="F34" s="103" t="n"/>
      <c r="G34" s="100" t="n"/>
      <c r="H34" s="212" t="n"/>
      <c r="I34" s="276" t="n"/>
      <c r="J34" s="213" t="n"/>
      <c r="K34" s="276" t="n"/>
      <c r="L34" s="132" t="n"/>
      <c r="M34" s="104" t="n">
        <v>19</v>
      </c>
      <c r="N34" s="119" t="n"/>
      <c r="O34" s="187" t="b">
        <v>1</v>
      </c>
    </row>
    <row r="35" ht="33.75" customHeight="1" thickBot="1">
      <c r="B35" s="161" t="n"/>
      <c r="C35" s="106" t="n"/>
      <c r="D35" s="107" t="n"/>
      <c r="E35" s="108" t="n"/>
      <c r="F35" s="109" t="n"/>
      <c r="G35" s="106" t="n"/>
      <c r="H35" s="216" t="n"/>
      <c r="I35" s="281" t="n"/>
      <c r="J35" s="217" t="n"/>
      <c r="K35" s="281" t="n"/>
      <c r="L35" s="133" t="n"/>
      <c r="M35" s="110" t="n">
        <v>20</v>
      </c>
      <c r="N35" s="318" t="n"/>
      <c r="O35" s="187" t="b">
        <v>1</v>
      </c>
    </row>
    <row r="36" ht="5.25" customHeight="1" thickBot="1">
      <c r="B36" s="26" t="n"/>
      <c r="C36" s="26" t="n"/>
      <c r="D36" s="26" t="n"/>
      <c r="E36" s="26" t="n"/>
      <c r="F36" s="26" t="n"/>
      <c r="G36" s="26" t="n"/>
      <c r="H36" s="27" t="n"/>
      <c r="I36" s="111" t="n"/>
      <c r="J36" s="111" t="n"/>
      <c r="K36" s="289" t="n"/>
      <c r="L36" s="289" t="n"/>
      <c r="M36" s="119" t="n"/>
    </row>
    <row r="37" ht="30" customHeight="1" thickBot="1">
      <c r="B37" s="62" t="inlineStr">
        <is>
          <t>*使用日より１ヶ月以内に作成し、小学館の担当者に提出してください。</t>
        </is>
      </c>
      <c r="C37" s="62" t="n"/>
      <c r="D37" s="62" t="n"/>
      <c r="E37" s="62" t="n"/>
      <c r="F37" s="112" t="n"/>
      <c r="G37" s="112" t="n"/>
      <c r="H37" s="112" t="n"/>
      <c r="I37" s="136" t="inlineStr">
        <is>
          <t>インボイス番号あり</t>
        </is>
      </c>
      <c r="J37" s="319">
        <f>SUMIF(O16:O35,"TRUE",J16:K35)</f>
        <v/>
      </c>
      <c r="K37" s="284" t="n"/>
      <c r="L37" s="320" t="inlineStr">
        <is>
          <t>（10％対象合計）</t>
        </is>
      </c>
    </row>
    <row r="38" ht="30" customHeight="1" thickBot="1">
      <c r="B38" s="187" t="inlineStr">
        <is>
          <t>*飛行機・新幹線・タクシーを使用した場合は、小学館宛の領収書を必ず添付してください。</t>
        </is>
      </c>
      <c r="C38" s="229" t="n"/>
      <c r="D38" s="229" t="n"/>
      <c r="E38" s="229" t="n"/>
      <c r="F38" s="112" t="n"/>
      <c r="G38" s="112" t="n"/>
      <c r="H38" s="112" t="n"/>
      <c r="I38" s="136" t="inlineStr">
        <is>
          <t>インボイス番号なし</t>
        </is>
      </c>
      <c r="J38" s="319">
        <f>SUMIF(O16:O35,"FALSE",J16:K35)</f>
        <v/>
      </c>
      <c r="K38" s="284" t="n"/>
      <c r="L38" s="320" t="inlineStr">
        <is>
          <t>（10％対象合計）</t>
        </is>
      </c>
    </row>
    <row r="39" ht="22.5" customHeight="1">
      <c r="B39" s="142" t="inlineStr">
        <is>
          <t>*適格請求書発行事業者以外（タクシー等）へのお支払いについては「インボイス」欄のチェックを外してください。</t>
        </is>
      </c>
      <c r="C39" s="229" t="n"/>
      <c r="D39" s="229" t="n"/>
      <c r="E39" s="229" t="n"/>
      <c r="F39" s="112" t="n"/>
      <c r="G39" s="112" t="n"/>
      <c r="H39" s="112" t="n"/>
      <c r="I39" s="141" t="n"/>
      <c r="J39" s="321" t="n"/>
      <c r="K39" s="321" t="n"/>
      <c r="L39" s="321" t="n"/>
      <c r="M39" s="137" t="n"/>
    </row>
    <row r="40" ht="30" customHeight="1">
      <c r="B40" s="114" t="inlineStr">
        <is>
          <t>※その他請求時の注意</t>
        </is>
      </c>
      <c r="C40" s="229" t="n"/>
      <c r="D40" s="229" t="n"/>
      <c r="E40" s="229" t="n"/>
      <c r="F40" s="112" t="n"/>
      <c r="G40" s="112" t="n"/>
      <c r="H40" s="112" t="n"/>
      <c r="J40" s="229" t="n"/>
      <c r="K40" s="301" t="n"/>
      <c r="L40" s="113" t="n"/>
      <c r="M40" s="119" t="n"/>
    </row>
    <row r="41" hidden="1" ht="18.75" customHeight="1">
      <c r="B41" s="229" t="n"/>
      <c r="C41" s="187" t="inlineStr">
        <is>
          <t>電車</t>
        </is>
      </c>
      <c r="D41" s="229" t="n"/>
      <c r="E41" s="115" t="inlineStr">
        <is>
          <t>→</t>
        </is>
      </c>
      <c r="F41" s="112" t="n"/>
      <c r="G41" s="33" t="inlineStr">
        <is>
          <t>普通</t>
        </is>
      </c>
      <c r="H41" s="112" t="n"/>
      <c r="J41" s="229" t="n"/>
      <c r="K41" s="307" t="n"/>
      <c r="L41" s="301" t="n"/>
      <c r="M41" s="119" t="n"/>
    </row>
    <row r="42" hidden="1" ht="18.75" customHeight="1">
      <c r="B42" s="112" t="n"/>
      <c r="C42" s="187" t="inlineStr">
        <is>
          <t>航空</t>
        </is>
      </c>
      <c r="D42" s="112" t="n"/>
      <c r="E42" s="115" t="inlineStr">
        <is>
          <t>⇔</t>
        </is>
      </c>
      <c r="F42" s="112" t="n"/>
      <c r="G42" s="33" t="inlineStr">
        <is>
          <t>当座</t>
        </is>
      </c>
      <c r="H42" s="112" t="n"/>
      <c r="L42" s="307" t="n"/>
      <c r="M42" s="119" t="n"/>
    </row>
    <row r="43" hidden="1">
      <c r="C43" s="187" t="inlineStr">
        <is>
          <t>タクシー</t>
        </is>
      </c>
      <c r="G43" s="33" t="inlineStr">
        <is>
          <t>貯蓄</t>
        </is>
      </c>
    </row>
    <row r="44" hidden="1">
      <c r="C44" s="187" t="inlineStr">
        <is>
          <t>バス</t>
        </is>
      </c>
      <c r="G44" s="33" t="inlineStr">
        <is>
          <t>その他</t>
        </is>
      </c>
    </row>
    <row r="45" hidden="1">
      <c r="C45" s="187" t="inlineStr">
        <is>
          <t>船</t>
        </is>
      </c>
    </row>
    <row r="46" hidden="1">
      <c r="C46" s="187" t="inlineStr">
        <is>
          <t>他</t>
        </is>
      </c>
    </row>
  </sheetData>
  <mergeCells count="63">
    <mergeCell ref="H35:I35"/>
    <mergeCell ref="B7:F7"/>
    <mergeCell ref="H20:I20"/>
    <mergeCell ref="J29:K29"/>
    <mergeCell ref="H29:I29"/>
    <mergeCell ref="J38:K38"/>
    <mergeCell ref="J14:K14"/>
    <mergeCell ref="K9:L9"/>
    <mergeCell ref="K5:L5"/>
    <mergeCell ref="J19:K19"/>
    <mergeCell ref="J37:K37"/>
    <mergeCell ref="J28:K28"/>
    <mergeCell ref="H31:I31"/>
    <mergeCell ref="L37:M37"/>
    <mergeCell ref="I7:L8"/>
    <mergeCell ref="H25:I25"/>
    <mergeCell ref="J30:K30"/>
    <mergeCell ref="H21:I21"/>
    <mergeCell ref="C3:F3"/>
    <mergeCell ref="H34:I34"/>
    <mergeCell ref="J34:K34"/>
    <mergeCell ref="J24:K24"/>
    <mergeCell ref="I6:L6"/>
    <mergeCell ref="H7:H8"/>
    <mergeCell ref="J27:K27"/>
    <mergeCell ref="C5:F5"/>
    <mergeCell ref="I11:L11"/>
    <mergeCell ref="J26:K26"/>
    <mergeCell ref="H17:I17"/>
    <mergeCell ref="J35:K35"/>
    <mergeCell ref="D14:F14"/>
    <mergeCell ref="J20:K20"/>
    <mergeCell ref="H16:I16"/>
    <mergeCell ref="L38:M38"/>
    <mergeCell ref="C4:F4"/>
    <mergeCell ref="J16:K16"/>
    <mergeCell ref="H32:I32"/>
    <mergeCell ref="J32:K32"/>
    <mergeCell ref="J25:K25"/>
    <mergeCell ref="H19:I19"/>
    <mergeCell ref="J31:K31"/>
    <mergeCell ref="H22:I22"/>
    <mergeCell ref="C10:F10"/>
    <mergeCell ref="J22:K22"/>
    <mergeCell ref="H28:I28"/>
    <mergeCell ref="H14:I14"/>
    <mergeCell ref="H27:I27"/>
    <mergeCell ref="C9:F9"/>
    <mergeCell ref="J21:K21"/>
    <mergeCell ref="J10:L10"/>
    <mergeCell ref="I3:L3"/>
    <mergeCell ref="H24:I24"/>
    <mergeCell ref="H18:I18"/>
    <mergeCell ref="H33:I33"/>
    <mergeCell ref="J18:K18"/>
    <mergeCell ref="J33:K33"/>
    <mergeCell ref="H23:I23"/>
    <mergeCell ref="C11:F11"/>
    <mergeCell ref="J23:K23"/>
    <mergeCell ref="I9:J9"/>
    <mergeCell ref="H30:I30"/>
    <mergeCell ref="J17:K17"/>
    <mergeCell ref="H26:I26"/>
  </mergeCells>
  <dataValidations count="3">
    <dataValidation sqref="E16:E35" showDropDown="0" showInputMessage="1" showErrorMessage="1" allowBlank="1" prompt="片道→_x000a_往復⇔" type="list">
      <formula1>$E$41:$E$42</formula1>
    </dataValidation>
    <dataValidation sqref="C16:C35" showDropDown="0" showInputMessage="1" showErrorMessage="1" allowBlank="1" prompt="リストより交通手段を選んでください。_x000a_" type="list">
      <formula1>$C$41:$C$46</formula1>
    </dataValidation>
    <dataValidation sqref="I10" showDropDown="0" showInputMessage="1" showErrorMessage="1" allowBlank="1" prompt="口座種類を選択して下さい。" type="list">
      <formula1>$E$47:$E$48</formula1>
    </dataValidation>
  </dataValidations>
  <hyperlinks>
    <hyperlink ref="B40" location="請求時の注意!A1" display="その他請求時の注意"/>
  </hyperlinks>
  <pageMargins left="0.7" right="0.7" top="0.75" bottom="0.75" header="0.3" footer="0.3"/>
  <pageSetup orientation="portrait" paperSize="9" scale="6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46"/>
  <sheetViews>
    <sheetView zoomScale="80" zoomScaleNormal="80" workbookViewId="0">
      <selection activeCell="I10" sqref="I10:J10"/>
    </sheetView>
  </sheetViews>
  <sheetFormatPr baseColWidth="10" defaultColWidth="9" defaultRowHeight="16"/>
  <cols>
    <col width="5.33203125" customWidth="1" style="187" min="1" max="1"/>
    <col width="10.5" customWidth="1" style="187" min="2" max="2"/>
    <col width="12.33203125" customWidth="1" style="187" min="3" max="3"/>
    <col width="13.33203125" customWidth="1" style="187" min="4" max="4"/>
    <col width="9" customWidth="1" style="187" min="5" max="5"/>
    <col width="18.6640625" customWidth="1" style="187" min="6" max="6"/>
    <col width="14.33203125" bestFit="1" customWidth="1" style="187" min="7" max="7"/>
    <col width="10.6640625" customWidth="1" style="187" min="8" max="9"/>
    <col width="7.5" customWidth="1" style="187" min="10" max="11"/>
    <col width="7" bestFit="1" customWidth="1" style="187" min="12" max="12"/>
    <col width="9" customWidth="1" style="187" min="13" max="15"/>
    <col width="11.5" bestFit="1" customWidth="1" style="187" min="16" max="16"/>
    <col width="9" customWidth="1" style="187" min="17" max="16384"/>
  </cols>
  <sheetData>
    <row r="1" ht="22.5" customHeight="1" thickBot="1">
      <c r="H1" s="125" t="inlineStr">
        <is>
          <t>請求日</t>
        </is>
      </c>
      <c r="I1" s="185" t="n"/>
      <c r="J1" s="264" t="n"/>
    </row>
    <row r="2" ht="9.75" customHeight="1" thickBot="1"/>
    <row r="3" ht="24" customHeight="1" thickBot="1">
      <c r="B3" s="46" t="inlineStr">
        <is>
          <t>局名</t>
        </is>
      </c>
      <c r="C3" s="253" t="n"/>
      <c r="D3" s="292" t="n"/>
      <c r="E3" s="34" t="n"/>
      <c r="F3" s="259" t="inlineStr">
        <is>
          <t>小学館宛　経費（雑費）請求明細（外貨精算用）</t>
        </is>
      </c>
      <c r="G3" s="265" t="n"/>
      <c r="H3" s="265" t="n"/>
      <c r="I3" s="265" t="n"/>
      <c r="J3" s="265" t="n"/>
      <c r="L3" s="119" t="n"/>
    </row>
    <row r="4" ht="30.75" customHeight="1">
      <c r="B4" s="47" t="inlineStr">
        <is>
          <t>雑誌/書籍名</t>
        </is>
      </c>
      <c r="C4" s="255" t="n"/>
      <c r="D4" s="316" t="n"/>
      <c r="E4" s="121" t="n"/>
      <c r="L4" s="119" t="n"/>
    </row>
    <row r="5" ht="28" customHeight="1" thickBot="1">
      <c r="B5" s="48" t="inlineStr">
        <is>
          <t>取材テーマ</t>
        </is>
      </c>
      <c r="C5" s="257" t="n"/>
      <c r="D5" s="297" t="n"/>
      <c r="E5" s="186" t="n"/>
      <c r="K5" s="23" t="n"/>
      <c r="L5" s="93" t="n"/>
      <c r="M5" s="119" t="n"/>
    </row>
    <row r="6" ht="27" customHeight="1">
      <c r="F6" s="81" t="inlineStr">
        <is>
          <t>取引先コード</t>
        </is>
      </c>
      <c r="G6" s="13" t="n"/>
      <c r="H6" s="134" t="inlineStr">
        <is>
          <t>請求者</t>
        </is>
      </c>
      <c r="I6" s="201" t="inlineStr">
        <is>
          <t>倉田速音</t>
        </is>
      </c>
      <c r="J6" s="266" t="n"/>
      <c r="L6" s="119" t="n"/>
    </row>
    <row r="7" ht="34" customHeight="1">
      <c r="B7" s="229" t="inlineStr">
        <is>
          <t>下記のとおり御請求申し上げます。</t>
        </is>
      </c>
      <c r="C7" s="229" t="n"/>
      <c r="F7" s="144" t="inlineStr">
        <is>
          <t>インボイス登録番号
※適格発行事業者のみ</t>
        </is>
      </c>
      <c r="G7" s="205" t="n"/>
      <c r="H7" s="267" t="n"/>
      <c r="I7" s="267" t="n"/>
      <c r="J7" s="268" t="n"/>
      <c r="L7" s="119" t="n"/>
      <c r="P7" s="12" t="n"/>
    </row>
    <row r="8" ht="18.75" customHeight="1" thickBot="1">
      <c r="F8" s="195" t="inlineStr">
        <is>
          <t>住所</t>
        </is>
      </c>
      <c r="G8" s="188" t="n"/>
      <c r="H8" s="269" t="n"/>
      <c r="I8" s="269" t="n"/>
      <c r="J8" s="270" t="n"/>
      <c r="L8" s="119" t="n"/>
    </row>
    <row r="9" ht="33" customHeight="1">
      <c r="B9" s="52" t="inlineStr">
        <is>
          <t>請求額
（円）</t>
        </is>
      </c>
      <c r="C9" s="322">
        <f>IF(D11="","換算レート要入力",IF(H38="","",(H38*D11)-C12))</f>
        <v/>
      </c>
      <c r="D9" s="292" t="n"/>
      <c r="E9" s="323" t="n"/>
      <c r="F9" s="271" t="n"/>
      <c r="G9" s="272" t="n"/>
      <c r="H9" s="273" t="n"/>
      <c r="I9" s="273" t="n"/>
      <c r="J9" s="274" t="n"/>
      <c r="M9" s="119" t="n"/>
    </row>
    <row r="10" ht="33" customHeight="1" thickBot="1">
      <c r="B10" s="53" t="inlineStr">
        <is>
          <t>外貨合計金額</t>
        </is>
      </c>
      <c r="C10" s="251">
        <f>H38</f>
        <v/>
      </c>
      <c r="D10" s="316" t="n"/>
      <c r="E10" s="123" t="n"/>
      <c r="F10" s="79" t="inlineStr">
        <is>
          <t>振込先
（銀行名/支店名）</t>
        </is>
      </c>
      <c r="G10" s="260" t="n"/>
      <c r="H10" s="276" t="n"/>
      <c r="I10" s="260" t="n"/>
      <c r="J10" s="276" t="n"/>
      <c r="M10" s="119" t="n"/>
    </row>
    <row r="11" ht="29" customHeight="1" thickBot="1" thickTop="1">
      <c r="B11" s="40" t="inlineStr">
        <is>
          <t>換算レート</t>
        </is>
      </c>
      <c r="C11" s="324" t="inlineStr">
        <is>
          <t>USD</t>
        </is>
      </c>
      <c r="D11" s="126" t="n"/>
      <c r="E11" s="123" t="n"/>
      <c r="F11" s="40" t="inlineStr">
        <is>
          <t>口座種別/番号</t>
        </is>
      </c>
      <c r="G11" s="82" t="n"/>
      <c r="H11" s="325" t="n"/>
      <c r="I11" s="278" t="n"/>
      <c r="J11" s="279" t="n"/>
      <c r="M11" s="119" t="n"/>
      <c r="Q11" s="24" t="n"/>
    </row>
    <row r="12" ht="36" customHeight="1" thickBot="1" thickTop="1">
      <c r="B12" s="50" t="inlineStr">
        <is>
          <t>仮払金</t>
        </is>
      </c>
      <c r="C12" s="326" t="n"/>
      <c r="D12" s="297" t="n"/>
      <c r="E12" s="327" t="n"/>
      <c r="F12" s="80" t="inlineStr">
        <is>
          <t>口座名義
（カタカナ入力）</t>
        </is>
      </c>
      <c r="G12" s="247" t="n"/>
      <c r="H12" s="280" t="n"/>
      <c r="I12" s="280" t="n"/>
      <c r="J12" s="281" t="n"/>
      <c r="K12" s="117" t="n"/>
      <c r="L12" s="117" t="n"/>
      <c r="M12" s="119" t="n"/>
      <c r="Q12" s="24" t="n"/>
    </row>
    <row r="13" ht="17.25" customHeight="1">
      <c r="B13" s="59" t="inlineStr">
        <is>
          <t>* 小学館からの仮払がある場合、上の仮払金欄に仮払の額を記入して下さい</t>
        </is>
      </c>
      <c r="C13" s="96" t="n"/>
      <c r="G13" s="118" t="n"/>
      <c r="H13" s="97" t="n"/>
      <c r="I13" s="97" t="n"/>
      <c r="J13" s="97" t="n"/>
      <c r="K13" s="97" t="n"/>
      <c r="L13" s="119" t="n"/>
    </row>
    <row r="14" ht="5.25" customHeight="1" thickBot="1">
      <c r="G14" s="25" t="n"/>
      <c r="L14" s="119" t="n"/>
    </row>
    <row r="15" ht="34.5" customHeight="1" thickBot="1">
      <c r="B15" s="42" t="inlineStr">
        <is>
          <t>利用日</t>
        </is>
      </c>
      <c r="C15" s="197" t="inlineStr">
        <is>
          <t>支払先</t>
        </is>
      </c>
      <c r="D15" s="196" t="inlineStr">
        <is>
          <t>摘要</t>
        </is>
      </c>
      <c r="E15" s="283" t="n"/>
      <c r="F15" s="283" t="n"/>
      <c r="G15" s="284" t="n"/>
      <c r="H15" s="197" t="inlineStr">
        <is>
          <t>金額（外貨）</t>
        </is>
      </c>
      <c r="I15" s="284" t="n"/>
      <c r="J15" s="54" t="inlineStr">
        <is>
          <t>証票
番号</t>
        </is>
      </c>
      <c r="K15" s="119" t="n"/>
    </row>
    <row r="16" ht="5.25" customHeight="1" thickBot="1">
      <c r="K16" s="119" t="n"/>
    </row>
    <row r="17" ht="29.25" customHeight="1">
      <c r="B17" s="120" t="n"/>
      <c r="C17" s="98" t="n"/>
      <c r="D17" s="244" t="n"/>
      <c r="E17" s="285" t="n"/>
      <c r="F17" s="285" t="n"/>
      <c r="G17" s="266" t="n"/>
      <c r="H17" s="245" t="n"/>
      <c r="I17" s="266" t="n"/>
      <c r="J17" s="15" t="n"/>
      <c r="K17" s="119" t="n"/>
    </row>
    <row r="18" ht="29.25" customHeight="1">
      <c r="B18" s="18" t="n"/>
      <c r="C18" s="100" t="n"/>
      <c r="D18" s="212" t="n"/>
      <c r="E18" s="278" t="n"/>
      <c r="F18" s="278" t="n"/>
      <c r="G18" s="276" t="n"/>
      <c r="H18" s="243" t="n"/>
      <c r="I18" s="276" t="n"/>
      <c r="J18" s="17" t="n"/>
      <c r="K18" s="119" t="n"/>
    </row>
    <row r="19" ht="29.25" customHeight="1">
      <c r="B19" s="18" t="n"/>
      <c r="C19" s="100" t="n"/>
      <c r="D19" s="212" t="n"/>
      <c r="E19" s="278" t="n"/>
      <c r="F19" s="278" t="n"/>
      <c r="G19" s="276" t="n"/>
      <c r="H19" s="243" t="n"/>
      <c r="I19" s="276" t="n"/>
      <c r="J19" s="17" t="n"/>
      <c r="K19" s="119" t="n"/>
    </row>
    <row r="20" ht="29.25" customHeight="1">
      <c r="B20" s="18" t="n"/>
      <c r="C20" s="100" t="n"/>
      <c r="D20" s="212" t="n"/>
      <c r="E20" s="278" t="n"/>
      <c r="F20" s="278" t="n"/>
      <c r="G20" s="276" t="n"/>
      <c r="H20" s="243" t="n"/>
      <c r="I20" s="276" t="n"/>
      <c r="J20" s="17" t="n"/>
      <c r="K20" s="119" t="n"/>
    </row>
    <row r="21" ht="29.25" customHeight="1">
      <c r="B21" s="18" t="n"/>
      <c r="C21" s="100" t="n"/>
      <c r="D21" s="212" t="n"/>
      <c r="E21" s="278" t="n"/>
      <c r="F21" s="278" t="n"/>
      <c r="G21" s="276" t="n"/>
      <c r="H21" s="243" t="n"/>
      <c r="I21" s="276" t="n"/>
      <c r="J21" s="17" t="n"/>
      <c r="K21" s="318" t="n"/>
    </row>
    <row r="22" ht="29.25" customHeight="1">
      <c r="B22" s="18" t="n"/>
      <c r="C22" s="100" t="n"/>
      <c r="D22" s="212" t="n"/>
      <c r="E22" s="278" t="n"/>
      <c r="F22" s="278" t="n"/>
      <c r="G22" s="276" t="n"/>
      <c r="H22" s="243" t="n"/>
      <c r="I22" s="276" t="n"/>
      <c r="J22" s="17" t="n"/>
      <c r="K22" s="119" t="n"/>
    </row>
    <row r="23" ht="29.25" customHeight="1">
      <c r="B23" s="18" t="n"/>
      <c r="C23" s="100" t="n"/>
      <c r="D23" s="212" t="n"/>
      <c r="E23" s="278" t="n"/>
      <c r="F23" s="278" t="n"/>
      <c r="G23" s="276" t="n"/>
      <c r="H23" s="243" t="n"/>
      <c r="I23" s="276" t="n"/>
      <c r="J23" s="17" t="n"/>
      <c r="K23" s="119" t="n"/>
    </row>
    <row r="24" ht="29.25" customHeight="1">
      <c r="B24" s="18" t="n"/>
      <c r="C24" s="100" t="n"/>
      <c r="D24" s="212" t="n"/>
      <c r="E24" s="278" t="n"/>
      <c r="F24" s="278" t="n"/>
      <c r="G24" s="276" t="n"/>
      <c r="H24" s="243" t="n"/>
      <c r="I24" s="276" t="n"/>
      <c r="J24" s="17" t="n"/>
      <c r="K24" s="119" t="n"/>
    </row>
    <row r="25" ht="29.25" customHeight="1">
      <c r="B25" s="18" t="n"/>
      <c r="C25" s="100" t="n"/>
      <c r="D25" s="212" t="n"/>
      <c r="E25" s="278" t="n"/>
      <c r="F25" s="278" t="n"/>
      <c r="G25" s="276" t="n"/>
      <c r="H25" s="243" t="n"/>
      <c r="I25" s="276" t="n"/>
      <c r="J25" s="17" t="n"/>
      <c r="K25" s="119" t="n"/>
    </row>
    <row r="26" ht="29.25" customHeight="1">
      <c r="B26" s="18" t="n"/>
      <c r="C26" s="100" t="n"/>
      <c r="D26" s="212" t="n"/>
      <c r="E26" s="278" t="n"/>
      <c r="F26" s="278" t="n"/>
      <c r="G26" s="276" t="n"/>
      <c r="H26" s="243" t="n"/>
      <c r="I26" s="276" t="n"/>
      <c r="J26" s="17" t="n"/>
      <c r="K26" s="318" t="n"/>
    </row>
    <row r="27" ht="29.25" customHeight="1">
      <c r="B27" s="18" t="n"/>
      <c r="C27" s="100" t="n"/>
      <c r="D27" s="212" t="n"/>
      <c r="E27" s="278" t="n"/>
      <c r="F27" s="278" t="n"/>
      <c r="G27" s="276" t="n"/>
      <c r="H27" s="243" t="n"/>
      <c r="I27" s="276" t="n"/>
      <c r="J27" s="17" t="n"/>
      <c r="K27" s="119" t="n"/>
    </row>
    <row r="28" ht="29.25" customHeight="1">
      <c r="B28" s="18" t="n"/>
      <c r="C28" s="100" t="n"/>
      <c r="D28" s="212" t="n"/>
      <c r="E28" s="278" t="n"/>
      <c r="F28" s="278" t="n"/>
      <c r="G28" s="276" t="n"/>
      <c r="H28" s="243" t="n"/>
      <c r="I28" s="276" t="n"/>
      <c r="J28" s="17" t="n"/>
      <c r="K28" s="119" t="n"/>
    </row>
    <row r="29" ht="29.25" customHeight="1">
      <c r="B29" s="18" t="n"/>
      <c r="C29" s="100" t="n"/>
      <c r="D29" s="212" t="n"/>
      <c r="E29" s="278" t="n"/>
      <c r="F29" s="278" t="n"/>
      <c r="G29" s="276" t="n"/>
      <c r="H29" s="243" t="n"/>
      <c r="I29" s="276" t="n"/>
      <c r="J29" s="17" t="n"/>
      <c r="K29" s="119" t="n"/>
    </row>
    <row r="30" ht="29.25" customHeight="1">
      <c r="B30" s="18" t="n"/>
      <c r="C30" s="100" t="n"/>
      <c r="D30" s="212" t="n"/>
      <c r="E30" s="278" t="n"/>
      <c r="F30" s="278" t="n"/>
      <c r="G30" s="276" t="n"/>
      <c r="H30" s="243" t="n"/>
      <c r="I30" s="276" t="n"/>
      <c r="J30" s="17" t="n"/>
      <c r="K30" s="119" t="n"/>
    </row>
    <row r="31" ht="29.25" customHeight="1">
      <c r="B31" s="18" t="n"/>
      <c r="C31" s="100" t="n"/>
      <c r="D31" s="212" t="n"/>
      <c r="E31" s="278" t="n"/>
      <c r="F31" s="278" t="n"/>
      <c r="G31" s="276" t="n"/>
      <c r="H31" s="243" t="n"/>
      <c r="I31" s="276" t="n"/>
      <c r="J31" s="17" t="n"/>
      <c r="K31" s="318" t="n"/>
    </row>
    <row r="32" ht="29.25" customHeight="1">
      <c r="B32" s="18" t="n"/>
      <c r="C32" s="100" t="n"/>
      <c r="D32" s="212" t="n"/>
      <c r="E32" s="278" t="n"/>
      <c r="F32" s="278" t="n"/>
      <c r="G32" s="276" t="n"/>
      <c r="H32" s="243" t="n"/>
      <c r="I32" s="276" t="n"/>
      <c r="J32" s="17" t="n"/>
      <c r="K32" s="119" t="n"/>
    </row>
    <row r="33" ht="29.25" customHeight="1">
      <c r="B33" s="18" t="n"/>
      <c r="C33" s="100" t="n"/>
      <c r="D33" s="212" t="n"/>
      <c r="E33" s="278" t="n"/>
      <c r="F33" s="278" t="n"/>
      <c r="G33" s="276" t="n"/>
      <c r="H33" s="243" t="n"/>
      <c r="I33" s="276" t="n"/>
      <c r="J33" s="17" t="n"/>
      <c r="K33" s="119" t="n"/>
    </row>
    <row r="34" ht="29.25" customHeight="1">
      <c r="B34" s="18" t="n"/>
      <c r="C34" s="100" t="n"/>
      <c r="D34" s="212" t="n"/>
      <c r="E34" s="278" t="n"/>
      <c r="F34" s="278" t="n"/>
      <c r="G34" s="276" t="n"/>
      <c r="H34" s="243" t="n"/>
      <c r="I34" s="276" t="n"/>
      <c r="J34" s="17" t="n"/>
      <c r="K34" s="119" t="n"/>
    </row>
    <row r="35" ht="29.25" customHeight="1">
      <c r="B35" s="18" t="n"/>
      <c r="C35" s="100" t="n"/>
      <c r="D35" s="212" t="n"/>
      <c r="E35" s="278" t="n"/>
      <c r="F35" s="278" t="n"/>
      <c r="G35" s="276" t="n"/>
      <c r="H35" s="243" t="n"/>
      <c r="I35" s="276" t="n"/>
      <c r="J35" s="17" t="n"/>
      <c r="K35" s="119" t="n"/>
    </row>
    <row r="36" ht="29.25" customHeight="1" thickBot="1">
      <c r="B36" s="19" t="n"/>
      <c r="C36" s="106" t="n"/>
      <c r="D36" s="216" t="n"/>
      <c r="E36" s="280" t="n"/>
      <c r="F36" s="280" t="n"/>
      <c r="G36" s="281" t="n"/>
      <c r="H36" s="240" t="n"/>
      <c r="I36" s="281" t="n"/>
      <c r="J36" s="20" t="n"/>
      <c r="K36" s="318" t="n"/>
    </row>
    <row r="37" ht="5.25" customHeight="1" thickBot="1">
      <c r="B37" s="26" t="n"/>
      <c r="C37" s="26" t="n"/>
      <c r="D37" s="26" t="n"/>
      <c r="E37" s="26" t="n"/>
      <c r="F37" s="27" t="n"/>
      <c r="G37" s="111" t="n"/>
      <c r="H37" s="111" t="n"/>
      <c r="I37" s="289">
        <f>ROUND(D37*G37,0)</f>
        <v/>
      </c>
      <c r="J37" s="289" t="n"/>
      <c r="K37" s="290" t="n"/>
      <c r="L37" s="119" t="n"/>
    </row>
    <row r="38" ht="27" customHeight="1" thickBot="1">
      <c r="C38" s="112" t="n"/>
      <c r="D38" s="112" t="n"/>
      <c r="E38" s="112" t="n"/>
      <c r="F38" s="112" t="n"/>
      <c r="G38" s="51" t="inlineStr">
        <is>
          <t>外貨合計金額</t>
        </is>
      </c>
      <c r="H38" s="328">
        <f>SUM(H17:I36)</f>
        <v/>
      </c>
      <c r="I38" s="284" t="n"/>
      <c r="J38" s="321" t="n"/>
      <c r="K38" s="306" t="n"/>
      <c r="L38" s="119" t="n"/>
    </row>
    <row r="39" ht="18.75" customHeight="1">
      <c r="B39" s="62" t="inlineStr">
        <is>
          <t>*使用日より１ヶ月以内に作成し、小学館の担当者に提出してください。</t>
        </is>
      </c>
      <c r="C39" s="112" t="n"/>
      <c r="D39" s="112" t="n"/>
      <c r="E39" s="112" t="n"/>
      <c r="F39" s="112" t="n"/>
      <c r="H39" s="229" t="n"/>
      <c r="I39" s="113" t="n"/>
      <c r="J39" s="113" t="n"/>
      <c r="K39" s="306" t="n"/>
      <c r="L39" s="119" t="n"/>
    </row>
    <row r="40" ht="18.75" customHeight="1">
      <c r="B40" s="229" t="inlineStr">
        <is>
          <t>*必ずレート証明書を添付して下さい</t>
        </is>
      </c>
      <c r="C40" s="112" t="n"/>
      <c r="D40" s="112" t="n"/>
      <c r="E40" s="112" t="n"/>
      <c r="F40" s="112" t="n"/>
      <c r="H40" s="229" t="n"/>
      <c r="I40" s="301" t="n"/>
      <c r="J40" s="301" t="n"/>
      <c r="K40" s="306" t="n"/>
      <c r="L40" s="119" t="n"/>
    </row>
    <row r="41" ht="22.5" customHeight="1">
      <c r="B41" s="229" t="inlineStr">
        <is>
          <t>*宿泊代は、領収書の他に明細書も必ず添付してください。（宿泊費・通信費以外は認められません）</t>
        </is>
      </c>
      <c r="C41" s="112" t="n"/>
      <c r="D41" s="112" t="n"/>
      <c r="E41" s="112" t="n"/>
      <c r="F41" s="112" t="n"/>
      <c r="H41" s="229" t="n"/>
      <c r="I41" s="307" t="n"/>
      <c r="J41" s="307" t="n"/>
      <c r="K41" s="306" t="n"/>
      <c r="L41" s="119" t="n"/>
    </row>
    <row r="42">
      <c r="B42" s="114" t="inlineStr">
        <is>
          <t>※その他請求時の注意</t>
        </is>
      </c>
    </row>
    <row r="43" hidden="1">
      <c r="B43" s="33" t="n"/>
      <c r="F43" s="33" t="inlineStr">
        <is>
          <t>普通</t>
        </is>
      </c>
    </row>
    <row r="44" hidden="1">
      <c r="B44" s="33" t="n"/>
      <c r="F44" s="33" t="inlineStr">
        <is>
          <t>当座</t>
        </is>
      </c>
    </row>
    <row r="45" hidden="1">
      <c r="B45" s="33" t="n"/>
      <c r="F45" s="33" t="inlineStr">
        <is>
          <t>貯蓄</t>
        </is>
      </c>
    </row>
    <row r="46" hidden="1">
      <c r="B46" s="33" t="n"/>
      <c r="F46" s="33" t="inlineStr">
        <is>
          <t>その他</t>
        </is>
      </c>
    </row>
  </sheetData>
  <mergeCells count="59">
    <mergeCell ref="D18:G18"/>
    <mergeCell ref="H35:I35"/>
    <mergeCell ref="H20:I20"/>
    <mergeCell ref="I6:J6"/>
    <mergeCell ref="H38:I38"/>
    <mergeCell ref="H29:I29"/>
    <mergeCell ref="D25:G25"/>
    <mergeCell ref="G8:J9"/>
    <mergeCell ref="C5:D5"/>
    <mergeCell ref="D24:G24"/>
    <mergeCell ref="D30:G30"/>
    <mergeCell ref="D15:G15"/>
    <mergeCell ref="D33:G33"/>
    <mergeCell ref="D29:G29"/>
    <mergeCell ref="H31:I31"/>
    <mergeCell ref="H11:J11"/>
    <mergeCell ref="C4:D4"/>
    <mergeCell ref="D23:G23"/>
    <mergeCell ref="H25:I25"/>
    <mergeCell ref="H34:I34"/>
    <mergeCell ref="F3:J3"/>
    <mergeCell ref="H21:I21"/>
    <mergeCell ref="C10:D10"/>
    <mergeCell ref="D26:G26"/>
    <mergeCell ref="F8:F9"/>
    <mergeCell ref="D35:G35"/>
    <mergeCell ref="G10:H10"/>
    <mergeCell ref="D20:G20"/>
    <mergeCell ref="G12:J12"/>
    <mergeCell ref="D19:G19"/>
    <mergeCell ref="H36:I36"/>
    <mergeCell ref="C9:D9"/>
    <mergeCell ref="D34:G34"/>
    <mergeCell ref="H17:I17"/>
    <mergeCell ref="D22:G22"/>
    <mergeCell ref="C12:D12"/>
    <mergeCell ref="D31:G31"/>
    <mergeCell ref="H32:I32"/>
    <mergeCell ref="D36:G36"/>
    <mergeCell ref="D21:G21"/>
    <mergeCell ref="G7:J7"/>
    <mergeCell ref="H19:I19"/>
    <mergeCell ref="H22:I22"/>
    <mergeCell ref="D27:G27"/>
    <mergeCell ref="H28:I28"/>
    <mergeCell ref="I1:J1"/>
    <mergeCell ref="D32:G32"/>
    <mergeCell ref="H27:I27"/>
    <mergeCell ref="D28:G28"/>
    <mergeCell ref="D17:G17"/>
    <mergeCell ref="I10:J10"/>
    <mergeCell ref="H24:I24"/>
    <mergeCell ref="H15:I15"/>
    <mergeCell ref="H18:I18"/>
    <mergeCell ref="H33:I33"/>
    <mergeCell ref="H23:I23"/>
    <mergeCell ref="C3:D3"/>
    <mergeCell ref="H30:I30"/>
    <mergeCell ref="H26:I26"/>
  </mergeCells>
  <dataValidations count="1">
    <dataValidation sqref="G11" showDropDown="0" showInputMessage="1" showErrorMessage="1" allowBlank="1" prompt="口座種類を選択して下さい。" type="list">
      <formula1>$E$47:$E$48</formula1>
    </dataValidation>
  </dataValidations>
  <hyperlinks>
    <hyperlink ref="B42" location="請求時の注意!A1" display="その他請求時の注意"/>
  </hyperlinks>
  <pageMargins left="0.7" right="0.7" top="0.75" bottom="0.75" header="0.3" footer="0.3"/>
  <pageSetup orientation="portrait" paperSize="9"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70"/>
  <sheetViews>
    <sheetView topLeftCell="A22" zoomScaleNormal="100" workbookViewId="0">
      <selection activeCell="G25" sqref="G25"/>
    </sheetView>
  </sheetViews>
  <sheetFormatPr baseColWidth="10" defaultColWidth="8.83203125" defaultRowHeight="16"/>
  <cols>
    <col width="5.6640625" customWidth="1" style="187" min="1" max="1"/>
    <col width="9" customWidth="1" style="187" min="2" max="11"/>
    <col width="16" customWidth="1" style="187" min="12" max="12"/>
    <col width="9" customWidth="1" style="187" min="13" max="256"/>
    <col width="4.33203125" customWidth="1" style="187" min="257" max="257"/>
    <col width="9" customWidth="1" style="187" min="258" max="267"/>
    <col width="16" customWidth="1" style="187" min="268" max="268"/>
    <col width="9" customWidth="1" style="187" min="269" max="512"/>
    <col width="4.33203125" customWidth="1" style="187" min="513" max="513"/>
    <col width="9" customWidth="1" style="187" min="514" max="523"/>
    <col width="16" customWidth="1" style="187" min="524" max="524"/>
    <col width="9" customWidth="1" style="187" min="525" max="768"/>
    <col width="4.33203125" customWidth="1" style="187" min="769" max="769"/>
    <col width="9" customWidth="1" style="187" min="770" max="779"/>
    <col width="16" customWidth="1" style="187" min="780" max="780"/>
    <col width="9" customWidth="1" style="187" min="781" max="1024"/>
    <col width="4.33203125" customWidth="1" style="187" min="1025" max="1025"/>
    <col width="9" customWidth="1" style="187" min="1026" max="1035"/>
    <col width="16" customWidth="1" style="187" min="1036" max="1036"/>
    <col width="9" customWidth="1" style="187" min="1037" max="1280"/>
    <col width="4.33203125" customWidth="1" style="187" min="1281" max="1281"/>
    <col width="9" customWidth="1" style="187" min="1282" max="1291"/>
    <col width="16" customWidth="1" style="187" min="1292" max="1292"/>
    <col width="9" customWidth="1" style="187" min="1293" max="1536"/>
    <col width="4.33203125" customWidth="1" style="187" min="1537" max="1537"/>
    <col width="9" customWidth="1" style="187" min="1538" max="1547"/>
    <col width="16" customWidth="1" style="187" min="1548" max="1548"/>
    <col width="9" customWidth="1" style="187" min="1549" max="1792"/>
    <col width="4.33203125" customWidth="1" style="187" min="1793" max="1793"/>
    <col width="9" customWidth="1" style="187" min="1794" max="1803"/>
    <col width="16" customWidth="1" style="187" min="1804" max="1804"/>
    <col width="9" customWidth="1" style="187" min="1805" max="2048"/>
    <col width="4.33203125" customWidth="1" style="187" min="2049" max="2049"/>
    <col width="9" customWidth="1" style="187" min="2050" max="2059"/>
    <col width="16" customWidth="1" style="187" min="2060" max="2060"/>
    <col width="9" customWidth="1" style="187" min="2061" max="2304"/>
    <col width="4.33203125" customWidth="1" style="187" min="2305" max="2305"/>
    <col width="9" customWidth="1" style="187" min="2306" max="2315"/>
    <col width="16" customWidth="1" style="187" min="2316" max="2316"/>
    <col width="9" customWidth="1" style="187" min="2317" max="2560"/>
    <col width="4.33203125" customWidth="1" style="187" min="2561" max="2561"/>
    <col width="9" customWidth="1" style="187" min="2562" max="2571"/>
    <col width="16" customWidth="1" style="187" min="2572" max="2572"/>
    <col width="9" customWidth="1" style="187" min="2573" max="2816"/>
    <col width="4.33203125" customWidth="1" style="187" min="2817" max="2817"/>
    <col width="9" customWidth="1" style="187" min="2818" max="2827"/>
    <col width="16" customWidth="1" style="187" min="2828" max="2828"/>
    <col width="9" customWidth="1" style="187" min="2829" max="3072"/>
    <col width="4.33203125" customWidth="1" style="187" min="3073" max="3073"/>
    <col width="9" customWidth="1" style="187" min="3074" max="3083"/>
    <col width="16" customWidth="1" style="187" min="3084" max="3084"/>
    <col width="9" customWidth="1" style="187" min="3085" max="3328"/>
    <col width="4.33203125" customWidth="1" style="187" min="3329" max="3329"/>
    <col width="9" customWidth="1" style="187" min="3330" max="3339"/>
    <col width="16" customWidth="1" style="187" min="3340" max="3340"/>
    <col width="9" customWidth="1" style="187" min="3341" max="3584"/>
    <col width="4.33203125" customWidth="1" style="187" min="3585" max="3585"/>
    <col width="9" customWidth="1" style="187" min="3586" max="3595"/>
    <col width="16" customWidth="1" style="187" min="3596" max="3596"/>
    <col width="9" customWidth="1" style="187" min="3597" max="3840"/>
    <col width="4.33203125" customWidth="1" style="187" min="3841" max="3841"/>
    <col width="9" customWidth="1" style="187" min="3842" max="3851"/>
    <col width="16" customWidth="1" style="187" min="3852" max="3852"/>
    <col width="9" customWidth="1" style="187" min="3853" max="4096"/>
    <col width="4.33203125" customWidth="1" style="187" min="4097" max="4097"/>
    <col width="9" customWidth="1" style="187" min="4098" max="4107"/>
    <col width="16" customWidth="1" style="187" min="4108" max="4108"/>
    <col width="9" customWidth="1" style="187" min="4109" max="4352"/>
    <col width="4.33203125" customWidth="1" style="187" min="4353" max="4353"/>
    <col width="9" customWidth="1" style="187" min="4354" max="4363"/>
    <col width="16" customWidth="1" style="187" min="4364" max="4364"/>
    <col width="9" customWidth="1" style="187" min="4365" max="4608"/>
    <col width="4.33203125" customWidth="1" style="187" min="4609" max="4609"/>
    <col width="9" customWidth="1" style="187" min="4610" max="4619"/>
    <col width="16" customWidth="1" style="187" min="4620" max="4620"/>
    <col width="9" customWidth="1" style="187" min="4621" max="4864"/>
    <col width="4.33203125" customWidth="1" style="187" min="4865" max="4865"/>
    <col width="9" customWidth="1" style="187" min="4866" max="4875"/>
    <col width="16" customWidth="1" style="187" min="4876" max="4876"/>
    <col width="9" customWidth="1" style="187" min="4877" max="5120"/>
    <col width="4.33203125" customWidth="1" style="187" min="5121" max="5121"/>
    <col width="9" customWidth="1" style="187" min="5122" max="5131"/>
    <col width="16" customWidth="1" style="187" min="5132" max="5132"/>
    <col width="9" customWidth="1" style="187" min="5133" max="5376"/>
    <col width="4.33203125" customWidth="1" style="187" min="5377" max="5377"/>
    <col width="9" customWidth="1" style="187" min="5378" max="5387"/>
    <col width="16" customWidth="1" style="187" min="5388" max="5388"/>
    <col width="9" customWidth="1" style="187" min="5389" max="5632"/>
    <col width="4.33203125" customWidth="1" style="187" min="5633" max="5633"/>
    <col width="9" customWidth="1" style="187" min="5634" max="5643"/>
    <col width="16" customWidth="1" style="187" min="5644" max="5644"/>
    <col width="9" customWidth="1" style="187" min="5645" max="5888"/>
    <col width="4.33203125" customWidth="1" style="187" min="5889" max="5889"/>
    <col width="9" customWidth="1" style="187" min="5890" max="5899"/>
    <col width="16" customWidth="1" style="187" min="5900" max="5900"/>
    <col width="9" customWidth="1" style="187" min="5901" max="6144"/>
    <col width="4.33203125" customWidth="1" style="187" min="6145" max="6145"/>
    <col width="9" customWidth="1" style="187" min="6146" max="6155"/>
    <col width="16" customWidth="1" style="187" min="6156" max="6156"/>
    <col width="9" customWidth="1" style="187" min="6157" max="6400"/>
    <col width="4.33203125" customWidth="1" style="187" min="6401" max="6401"/>
    <col width="9" customWidth="1" style="187" min="6402" max="6411"/>
    <col width="16" customWidth="1" style="187" min="6412" max="6412"/>
    <col width="9" customWidth="1" style="187" min="6413" max="6656"/>
    <col width="4.33203125" customWidth="1" style="187" min="6657" max="6657"/>
    <col width="9" customWidth="1" style="187" min="6658" max="6667"/>
    <col width="16" customWidth="1" style="187" min="6668" max="6668"/>
    <col width="9" customWidth="1" style="187" min="6669" max="6912"/>
    <col width="4.33203125" customWidth="1" style="187" min="6913" max="6913"/>
    <col width="9" customWidth="1" style="187" min="6914" max="6923"/>
    <col width="16" customWidth="1" style="187" min="6924" max="6924"/>
    <col width="9" customWidth="1" style="187" min="6925" max="7168"/>
    <col width="4.33203125" customWidth="1" style="187" min="7169" max="7169"/>
    <col width="9" customWidth="1" style="187" min="7170" max="7179"/>
    <col width="16" customWidth="1" style="187" min="7180" max="7180"/>
    <col width="9" customWidth="1" style="187" min="7181" max="7424"/>
    <col width="4.33203125" customWidth="1" style="187" min="7425" max="7425"/>
    <col width="9" customWidth="1" style="187" min="7426" max="7435"/>
    <col width="16" customWidth="1" style="187" min="7436" max="7436"/>
    <col width="9" customWidth="1" style="187" min="7437" max="7680"/>
    <col width="4.33203125" customWidth="1" style="187" min="7681" max="7681"/>
    <col width="9" customWidth="1" style="187" min="7682" max="7691"/>
    <col width="16" customWidth="1" style="187" min="7692" max="7692"/>
    <col width="9" customWidth="1" style="187" min="7693" max="7936"/>
    <col width="4.33203125" customWidth="1" style="187" min="7937" max="7937"/>
    <col width="9" customWidth="1" style="187" min="7938" max="7947"/>
    <col width="16" customWidth="1" style="187" min="7948" max="7948"/>
    <col width="9" customWidth="1" style="187" min="7949" max="8192"/>
    <col width="4.33203125" customWidth="1" style="187" min="8193" max="8193"/>
    <col width="9" customWidth="1" style="187" min="8194" max="8203"/>
    <col width="16" customWidth="1" style="187" min="8204" max="8204"/>
    <col width="9" customWidth="1" style="187" min="8205" max="8448"/>
    <col width="4.33203125" customWidth="1" style="187" min="8449" max="8449"/>
    <col width="9" customWidth="1" style="187" min="8450" max="8459"/>
    <col width="16" customWidth="1" style="187" min="8460" max="8460"/>
    <col width="9" customWidth="1" style="187" min="8461" max="8704"/>
    <col width="4.33203125" customWidth="1" style="187" min="8705" max="8705"/>
    <col width="9" customWidth="1" style="187" min="8706" max="8715"/>
    <col width="16" customWidth="1" style="187" min="8716" max="8716"/>
    <col width="9" customWidth="1" style="187" min="8717" max="8960"/>
    <col width="4.33203125" customWidth="1" style="187" min="8961" max="8961"/>
    <col width="9" customWidth="1" style="187" min="8962" max="8971"/>
    <col width="16" customWidth="1" style="187" min="8972" max="8972"/>
    <col width="9" customWidth="1" style="187" min="8973" max="9216"/>
    <col width="4.33203125" customWidth="1" style="187" min="9217" max="9217"/>
    <col width="9" customWidth="1" style="187" min="9218" max="9227"/>
    <col width="16" customWidth="1" style="187" min="9228" max="9228"/>
    <col width="9" customWidth="1" style="187" min="9229" max="9472"/>
    <col width="4.33203125" customWidth="1" style="187" min="9473" max="9473"/>
    <col width="9" customWidth="1" style="187" min="9474" max="9483"/>
    <col width="16" customWidth="1" style="187" min="9484" max="9484"/>
    <col width="9" customWidth="1" style="187" min="9485" max="9728"/>
    <col width="4.33203125" customWidth="1" style="187" min="9729" max="9729"/>
    <col width="9" customWidth="1" style="187" min="9730" max="9739"/>
    <col width="16" customWidth="1" style="187" min="9740" max="9740"/>
    <col width="9" customWidth="1" style="187" min="9741" max="9984"/>
    <col width="4.33203125" customWidth="1" style="187" min="9985" max="9985"/>
    <col width="9" customWidth="1" style="187" min="9986" max="9995"/>
    <col width="16" customWidth="1" style="187" min="9996" max="9996"/>
    <col width="9" customWidth="1" style="187" min="9997" max="10240"/>
    <col width="4.33203125" customWidth="1" style="187" min="10241" max="10241"/>
    <col width="9" customWidth="1" style="187" min="10242" max="10251"/>
    <col width="16" customWidth="1" style="187" min="10252" max="10252"/>
    <col width="9" customWidth="1" style="187" min="10253" max="10496"/>
    <col width="4.33203125" customWidth="1" style="187" min="10497" max="10497"/>
    <col width="9" customWidth="1" style="187" min="10498" max="10507"/>
    <col width="16" customWidth="1" style="187" min="10508" max="10508"/>
    <col width="9" customWidth="1" style="187" min="10509" max="10752"/>
    <col width="4.33203125" customWidth="1" style="187" min="10753" max="10753"/>
    <col width="9" customWidth="1" style="187" min="10754" max="10763"/>
    <col width="16" customWidth="1" style="187" min="10764" max="10764"/>
    <col width="9" customWidth="1" style="187" min="10765" max="11008"/>
    <col width="4.33203125" customWidth="1" style="187" min="11009" max="11009"/>
    <col width="9" customWidth="1" style="187" min="11010" max="11019"/>
    <col width="16" customWidth="1" style="187" min="11020" max="11020"/>
    <col width="9" customWidth="1" style="187" min="11021" max="11264"/>
    <col width="4.33203125" customWidth="1" style="187" min="11265" max="11265"/>
    <col width="9" customWidth="1" style="187" min="11266" max="11275"/>
    <col width="16" customWidth="1" style="187" min="11276" max="11276"/>
    <col width="9" customWidth="1" style="187" min="11277" max="11520"/>
    <col width="4.33203125" customWidth="1" style="187" min="11521" max="11521"/>
    <col width="9" customWidth="1" style="187" min="11522" max="11531"/>
    <col width="16" customWidth="1" style="187" min="11532" max="11532"/>
    <col width="9" customWidth="1" style="187" min="11533" max="11776"/>
    <col width="4.33203125" customWidth="1" style="187" min="11777" max="11777"/>
    <col width="9" customWidth="1" style="187" min="11778" max="11787"/>
    <col width="16" customWidth="1" style="187" min="11788" max="11788"/>
    <col width="9" customWidth="1" style="187" min="11789" max="12032"/>
    <col width="4.33203125" customWidth="1" style="187" min="12033" max="12033"/>
    <col width="9" customWidth="1" style="187" min="12034" max="12043"/>
    <col width="16" customWidth="1" style="187" min="12044" max="12044"/>
    <col width="9" customWidth="1" style="187" min="12045" max="12288"/>
    <col width="4.33203125" customWidth="1" style="187" min="12289" max="12289"/>
    <col width="9" customWidth="1" style="187" min="12290" max="12299"/>
    <col width="16" customWidth="1" style="187" min="12300" max="12300"/>
    <col width="9" customWidth="1" style="187" min="12301" max="12544"/>
    <col width="4.33203125" customWidth="1" style="187" min="12545" max="12545"/>
    <col width="9" customWidth="1" style="187" min="12546" max="12555"/>
    <col width="16" customWidth="1" style="187" min="12556" max="12556"/>
    <col width="9" customWidth="1" style="187" min="12557" max="12800"/>
    <col width="4.33203125" customWidth="1" style="187" min="12801" max="12801"/>
    <col width="9" customWidth="1" style="187" min="12802" max="12811"/>
    <col width="16" customWidth="1" style="187" min="12812" max="12812"/>
    <col width="9" customWidth="1" style="187" min="12813" max="13056"/>
    <col width="4.33203125" customWidth="1" style="187" min="13057" max="13057"/>
    <col width="9" customWidth="1" style="187" min="13058" max="13067"/>
    <col width="16" customWidth="1" style="187" min="13068" max="13068"/>
    <col width="9" customWidth="1" style="187" min="13069" max="13312"/>
    <col width="4.33203125" customWidth="1" style="187" min="13313" max="13313"/>
    <col width="9" customWidth="1" style="187" min="13314" max="13323"/>
    <col width="16" customWidth="1" style="187" min="13324" max="13324"/>
    <col width="9" customWidth="1" style="187" min="13325" max="13568"/>
    <col width="4.33203125" customWidth="1" style="187" min="13569" max="13569"/>
    <col width="9" customWidth="1" style="187" min="13570" max="13579"/>
    <col width="16" customWidth="1" style="187" min="13580" max="13580"/>
    <col width="9" customWidth="1" style="187" min="13581" max="13824"/>
    <col width="4.33203125" customWidth="1" style="187" min="13825" max="13825"/>
    <col width="9" customWidth="1" style="187" min="13826" max="13835"/>
    <col width="16" customWidth="1" style="187" min="13836" max="13836"/>
    <col width="9" customWidth="1" style="187" min="13837" max="14080"/>
    <col width="4.33203125" customWidth="1" style="187" min="14081" max="14081"/>
    <col width="9" customWidth="1" style="187" min="14082" max="14091"/>
    <col width="16" customWidth="1" style="187" min="14092" max="14092"/>
    <col width="9" customWidth="1" style="187" min="14093" max="14336"/>
    <col width="4.33203125" customWidth="1" style="187" min="14337" max="14337"/>
    <col width="9" customWidth="1" style="187" min="14338" max="14347"/>
    <col width="16" customWidth="1" style="187" min="14348" max="14348"/>
    <col width="9" customWidth="1" style="187" min="14349" max="14592"/>
    <col width="4.33203125" customWidth="1" style="187" min="14593" max="14593"/>
    <col width="9" customWidth="1" style="187" min="14594" max="14603"/>
    <col width="16" customWidth="1" style="187" min="14604" max="14604"/>
    <col width="9" customWidth="1" style="187" min="14605" max="14848"/>
    <col width="4.33203125" customWidth="1" style="187" min="14849" max="14849"/>
    <col width="9" customWidth="1" style="187" min="14850" max="14859"/>
    <col width="16" customWidth="1" style="187" min="14860" max="14860"/>
    <col width="9" customWidth="1" style="187" min="14861" max="15104"/>
    <col width="4.33203125" customWidth="1" style="187" min="15105" max="15105"/>
    <col width="9" customWidth="1" style="187" min="15106" max="15115"/>
    <col width="16" customWidth="1" style="187" min="15116" max="15116"/>
    <col width="9" customWidth="1" style="187" min="15117" max="15360"/>
    <col width="4.33203125" customWidth="1" style="187" min="15361" max="15361"/>
    <col width="9" customWidth="1" style="187" min="15362" max="15371"/>
    <col width="16" customWidth="1" style="187" min="15372" max="15372"/>
    <col width="9" customWidth="1" style="187" min="15373" max="15616"/>
    <col width="4.33203125" customWidth="1" style="187" min="15617" max="15617"/>
    <col width="9" customWidth="1" style="187" min="15618" max="15627"/>
    <col width="16" customWidth="1" style="187" min="15628" max="15628"/>
    <col width="9" customWidth="1" style="187" min="15629" max="15872"/>
    <col width="4.33203125" customWidth="1" style="187" min="15873" max="15873"/>
    <col width="9" customWidth="1" style="187" min="15874" max="15883"/>
    <col width="16" customWidth="1" style="187" min="15884" max="15884"/>
    <col width="9" customWidth="1" style="187" min="15885" max="16128"/>
    <col width="4.33203125" customWidth="1" style="187" min="16129" max="16129"/>
    <col width="9" customWidth="1" style="187" min="16130" max="16139"/>
    <col width="16" customWidth="1" style="187" min="16140" max="16140"/>
    <col width="9" customWidth="1" style="187" min="16141" max="16384"/>
  </cols>
  <sheetData>
    <row r="1" ht="16.5" customHeight="1">
      <c r="A1" s="5" t="inlineStr">
        <is>
          <t>外部協力者用経費精算シート　記入・提出時のご注意</t>
        </is>
      </c>
    </row>
    <row r="2" ht="13.5" customHeight="1">
      <c r="A2" s="5" t="n"/>
    </row>
    <row r="3" ht="13.5" customHeight="1"/>
    <row r="4" ht="16.5" customHeight="1">
      <c r="A4" s="6" t="inlineStr">
        <is>
          <t>１．</t>
        </is>
      </c>
      <c r="B4" s="7" t="inlineStr">
        <is>
          <t>エクセルシートの明細は、合計金額欄・請求金額欄に数式が入っており、自動計算されます。</t>
        </is>
      </c>
    </row>
    <row r="5" ht="16.5" customHeight="1">
      <c r="A5" s="6" t="n"/>
      <c r="B5" s="7" t="inlineStr">
        <is>
          <t>（入力セル以外のセルは入力制御しています）</t>
        </is>
      </c>
    </row>
    <row r="6" ht="16.5" customHeight="1">
      <c r="A6" s="6" t="n"/>
      <c r="B6" s="7" t="inlineStr">
        <is>
          <t>また、雑費用、交通費用、海外取材時の外貨払経費精算用の３種類がありますので、用途に応じてご使用ください。</t>
        </is>
      </c>
    </row>
    <row r="7" ht="16.5" customHeight="1">
      <c r="A7" s="6" t="n"/>
      <c r="B7" s="68" t="inlineStr">
        <is>
          <t>合計の自動計算式が入っておりますので、必ずＰＣにて入力したものをプリントアウトしてください。</t>
        </is>
      </c>
      <c r="C7" s="69" t="n"/>
      <c r="D7" s="69" t="n"/>
      <c r="E7" s="69" t="n"/>
      <c r="F7" s="69" t="n"/>
      <c r="G7" s="69" t="n"/>
      <c r="H7" s="69" t="n"/>
      <c r="I7" s="69" t="n"/>
      <c r="J7" s="69" t="n"/>
      <c r="K7" s="70" t="n"/>
    </row>
    <row r="8" ht="16.5" customHeight="1">
      <c r="A8" s="6" t="n"/>
      <c r="B8" s="68" t="inlineStr">
        <is>
          <t>選択出来るセルにのみ入力ください。入力セルの書式変更（文字の大きさの変更等）はできます。</t>
        </is>
      </c>
      <c r="C8" s="69" t="n"/>
      <c r="D8" s="69" t="n"/>
      <c r="E8" s="69" t="n"/>
      <c r="F8" s="69" t="n"/>
      <c r="G8" s="69" t="n"/>
      <c r="H8" s="69" t="n"/>
      <c r="I8" s="69" t="n"/>
      <c r="J8" s="69" t="n"/>
      <c r="K8" s="70" t="n"/>
    </row>
    <row r="9" ht="16.5" customHeight="1">
      <c r="A9" s="6" t="n"/>
      <c r="B9" s="68" t="inlineStr">
        <is>
          <t>このシート以外での立替金請求は受付できません。</t>
        </is>
      </c>
      <c r="C9" s="69" t="n"/>
      <c r="D9" s="69" t="n"/>
      <c r="E9" s="69" t="n"/>
      <c r="F9" s="69" t="n"/>
      <c r="G9" s="69" t="n"/>
      <c r="H9" s="69" t="n"/>
      <c r="I9" s="69" t="n"/>
      <c r="J9" s="69" t="n"/>
      <c r="K9" s="70" t="n"/>
    </row>
    <row r="10" ht="21.75" customHeight="1">
      <c r="A10" s="6" t="n"/>
      <c r="B10" s="7" t="n"/>
      <c r="K10" s="71" t="n"/>
    </row>
    <row r="11" ht="16.5" customHeight="1">
      <c r="A11" s="6" t="inlineStr">
        <is>
          <t>２．</t>
        </is>
      </c>
      <c r="B11" s="7" t="inlineStr">
        <is>
          <t>既に小学館の取引先コード（支払通知書の右下に「お問い合せ番号」とある、アルファベットの後の７桁の数字）</t>
        </is>
      </c>
    </row>
    <row r="12" ht="16.5" customHeight="1">
      <c r="A12" s="6" t="n"/>
      <c r="B12" s="7" t="inlineStr">
        <is>
          <t>がある場合、住所・銀行口座を記入する必要はありません。名前と取引先コードのみを記入してください。</t>
        </is>
      </c>
    </row>
    <row r="13" ht="16.5" customHeight="1">
      <c r="A13" s="6" t="n"/>
      <c r="B13" s="7" t="inlineStr">
        <is>
          <t>誤支払防止のため、取引先コードが不明な場合には、住所～銀行口座までの各項目を必ずご記入ください。</t>
        </is>
      </c>
    </row>
    <row r="14" ht="21.75" customHeight="1">
      <c r="A14" s="6" t="n"/>
      <c r="B14" s="7" t="n"/>
    </row>
    <row r="15" ht="16.5" customHeight="1">
      <c r="A15" s="6" t="inlineStr">
        <is>
          <t>３．</t>
        </is>
      </c>
      <c r="B15" s="7" t="inlineStr">
        <is>
          <t>一回の請求で２０行を超える場合は、きりの良いところで分割し、複数枚に分けて請求して下さい。</t>
        </is>
      </c>
    </row>
    <row r="16" ht="16.5" customHeight="1">
      <c r="A16" s="6" t="n"/>
      <c r="B16" s="7" t="inlineStr">
        <is>
          <t>混乱を避けるため、合計金額は原則として一枚ごとに出し、別々の請求書としてください。</t>
        </is>
      </c>
    </row>
    <row r="17" ht="16.5" customHeight="1">
      <c r="A17" s="6" t="n"/>
      <c r="B17" s="8" t="inlineStr">
        <is>
          <t>ただし、小学館からの仮払があり、且つ明細が複数枚に渡る場合には、</t>
        </is>
      </c>
    </row>
    <row r="18" ht="16.5" customHeight="1">
      <c r="A18" s="6" t="n"/>
      <c r="B18" s="8" t="inlineStr">
        <is>
          <t>１枚目にのみ仮払金額全額を記入し、同じ仮払精算の複数枚の合計請求金額</t>
        </is>
      </c>
    </row>
    <row r="19" ht="16.5" customHeight="1">
      <c r="A19" s="6" t="n"/>
      <c r="B19" s="8" t="inlineStr">
        <is>
          <t>（仮払を考慮して、小学館に請求すべき金額合計）を、請求金額欄の上に手書きで記入して下さい。</t>
        </is>
      </c>
    </row>
    <row r="20" ht="21.75" customHeight="1">
      <c r="A20" s="6" t="n"/>
      <c r="B20" s="7" t="n"/>
    </row>
    <row r="21" ht="16.5" customHeight="1">
      <c r="A21" s="6" t="inlineStr">
        <is>
          <t>４．</t>
        </is>
      </c>
      <c r="B21" s="7" t="inlineStr">
        <is>
          <t>領収書は、必ず小学館宛（小学館○○局という形や、雑誌名でも可）で取るようにして下さい。</t>
        </is>
      </c>
    </row>
    <row r="22" ht="21.75" customHeight="1">
      <c r="A22" s="6" t="n"/>
      <c r="B22" s="7" t="n"/>
    </row>
    <row r="23" ht="16.5" customHeight="1">
      <c r="A23" s="6" t="inlineStr">
        <is>
          <t>５．</t>
        </is>
      </c>
      <c r="B23" s="7" t="inlineStr">
        <is>
          <t>領収書は、コピーではなく本書（原本）を添付してください。</t>
        </is>
      </c>
    </row>
    <row r="24" ht="16.5" customHeight="1">
      <c r="A24" s="6" t="n"/>
      <c r="B24" s="7" t="inlineStr">
        <is>
          <t>紛失しないように、明細の左上にまとめてホッチキスで留めるか、別途A４の用紙に貼付して同様にホッチキス止めして提出して下さい。</t>
        </is>
      </c>
    </row>
    <row r="25" ht="21.75" customHeight="1">
      <c r="A25" s="6" t="n"/>
      <c r="B25" s="7" t="n"/>
    </row>
    <row r="26" ht="16.5" customHeight="1">
      <c r="A26" s="6" t="inlineStr">
        <is>
          <t>６．</t>
        </is>
      </c>
      <c r="B26" s="7" t="inlineStr">
        <is>
          <t>領収書には、連番をつけ、明細の番号欄にもその番号を記載して下さい。</t>
        </is>
      </c>
    </row>
    <row r="27" ht="21.75" customHeight="1">
      <c r="A27" s="6" t="n"/>
      <c r="B27" s="7" t="n"/>
    </row>
    <row r="28" ht="16.5" customHeight="1">
      <c r="A28" s="6" t="inlineStr">
        <is>
          <t>７．</t>
        </is>
      </c>
      <c r="B28" s="7" t="inlineStr">
        <is>
          <t>宿泊費は、使用内容・明細がわかる領収書を必ず添付して下さい。</t>
        </is>
      </c>
    </row>
    <row r="29" ht="16.5" customHeight="1">
      <c r="A29" s="6" t="n"/>
      <c r="B29" s="7" t="inlineStr">
        <is>
          <t>（宿泊費・会議費・通信費以外は会社の経費として認められませんので、金額訂正する場合があります。</t>
        </is>
      </c>
    </row>
    <row r="30" ht="16.5" customHeight="1">
      <c r="A30" s="6" t="n"/>
      <c r="B30" s="7" t="inlineStr">
        <is>
          <t xml:space="preserve">　ルームサービス、マッサージやバー使用などの、打合せ時の使用ではない個人的な飲食代・遊興費・身の回り品購入代等は</t>
        </is>
      </c>
    </row>
    <row r="31" ht="16.5" customHeight="1">
      <c r="A31" s="6" t="n"/>
      <c r="B31" s="7" t="inlineStr">
        <is>
          <t xml:space="preserve">　請求額には入れないで下さい。</t>
        </is>
      </c>
    </row>
    <row r="32" ht="17.25" customHeight="1">
      <c r="A32" s="6" t="n"/>
      <c r="B32" s="7" t="inlineStr">
        <is>
          <t xml:space="preserve">　ただし、朝食付等、宿泊費にあらかじめ飲食費が含まれている場合はその金額でご請求頂いて結構です）</t>
        </is>
      </c>
    </row>
    <row r="33" ht="18" customHeight="1">
      <c r="A33" s="6" t="n"/>
      <c r="B33" s="7" t="n"/>
    </row>
    <row r="34" ht="18" customHeight="1">
      <c r="A34" s="6" t="inlineStr">
        <is>
          <t>８．</t>
        </is>
      </c>
      <c r="B34" s="7" t="inlineStr">
        <is>
          <t>軽減税率対象（８％）、課税対象外(非課税/不課税)のお支払がある場合、適切な税率を選択して下さい。</t>
        </is>
      </c>
    </row>
    <row r="35">
      <c r="A35" s="6" t="n"/>
      <c r="B35" s="12" t="inlineStr">
        <is>
          <t>1枚の領収書（同支払先）で税率の異なるお支払がある場合は行を分けての入力をお願いします。</t>
        </is>
      </c>
    </row>
    <row r="36" ht="18" customHeight="1">
      <c r="A36" s="6" t="n"/>
      <c r="B36" s="7" t="n"/>
    </row>
    <row r="37" ht="18" customHeight="1">
      <c r="A37" s="6" t="inlineStr">
        <is>
          <t>9.</t>
        </is>
      </c>
      <c r="B37" s="7" t="inlineStr">
        <is>
          <t>適格請求書発行事業者以外（適格請求書番号の記載がないもの）へのお支払いについては「インボイス」欄のチェックを外してください。</t>
        </is>
      </c>
    </row>
    <row r="38" ht="18" customHeight="1">
      <c r="A38" s="6" t="n"/>
      <c r="B38" s="7" t="inlineStr">
        <is>
          <t>適格請求書には「T+13桁」の適格請求書発行事業番号が記載されています。</t>
        </is>
      </c>
    </row>
    <row r="39" ht="18" customHeight="1">
      <c r="A39" s="6" t="n"/>
      <c r="B39" s="7" t="n"/>
    </row>
    <row r="40" ht="16.5" customHeight="1">
      <c r="A40" s="6" t="inlineStr">
        <is>
          <t>10．</t>
        </is>
      </c>
      <c r="B40" s="7" t="inlineStr">
        <is>
          <t>海外で使用した外貨払経費の精算時には、換算レートの証明書（銀行・両替所のレシート）を必ず添付して下さい。</t>
        </is>
      </c>
    </row>
    <row r="41" ht="16.5" customHeight="1">
      <c r="A41" s="6" t="n"/>
      <c r="B41" s="7" t="inlineStr">
        <is>
          <t>レート表は、使用期間が数日に渡る場合でも、一番使用が多い日（両替額が一番多い日）のもののみ１枚で結構です。</t>
        </is>
      </c>
    </row>
    <row r="42" ht="16.5" customHeight="1">
      <c r="A42" s="6" t="n"/>
      <c r="B42" s="7" t="inlineStr">
        <is>
          <t>（換算は、そのレートで一括で行います）</t>
        </is>
      </c>
    </row>
    <row r="43" ht="21.75" customHeight="1">
      <c r="A43" s="6" t="n"/>
      <c r="B43" s="7" t="n"/>
    </row>
    <row r="44" ht="16.5" customHeight="1">
      <c r="A44" s="6" t="inlineStr">
        <is>
          <t>１1．</t>
        </is>
      </c>
      <c r="B44" s="9" t="inlineStr">
        <is>
          <t>使用日より１ヶ月以内に作成し、編集部の担当者に提出してください。</t>
        </is>
      </c>
    </row>
    <row r="45">
      <c r="A45" s="10" t="n"/>
    </row>
    <row r="47">
      <c r="A47" s="10" t="n"/>
    </row>
    <row r="48">
      <c r="A48" s="10" t="n"/>
      <c r="L48" s="11" t="n"/>
    </row>
    <row r="49">
      <c r="A49" s="10" t="n"/>
    </row>
    <row r="50">
      <c r="A50" s="10" t="n"/>
      <c r="L50" s="11" t="n"/>
    </row>
    <row r="51">
      <c r="A51" s="10" t="n"/>
      <c r="L51" s="11" t="n"/>
    </row>
    <row r="52">
      <c r="A52" s="10" t="n"/>
      <c r="L52" s="11" t="n"/>
    </row>
    <row r="53">
      <c r="A53" s="10" t="n"/>
    </row>
    <row r="54">
      <c r="A54" s="10" t="n"/>
    </row>
    <row r="55">
      <c r="A55" s="10" t="n"/>
    </row>
    <row r="56">
      <c r="A56" s="10" t="n"/>
    </row>
    <row r="57">
      <c r="A57" s="10" t="n"/>
    </row>
    <row r="58">
      <c r="A58" s="10" t="n"/>
    </row>
    <row r="59">
      <c r="A59" s="10" t="n"/>
    </row>
    <row r="60">
      <c r="A60" s="10" t="n"/>
    </row>
    <row r="61">
      <c r="A61" s="10" t="n"/>
    </row>
    <row r="62">
      <c r="A62" s="10" t="n"/>
    </row>
    <row r="63">
      <c r="A63" s="10" t="n"/>
    </row>
    <row r="64">
      <c r="A64" s="10" t="n"/>
    </row>
    <row r="65">
      <c r="A65" s="10" t="n"/>
    </row>
    <row r="66">
      <c r="A66" s="10" t="n"/>
    </row>
    <row r="67">
      <c r="A67" s="10" t="n"/>
    </row>
    <row r="68">
      <c r="A68" s="10" t="n"/>
    </row>
    <row r="69">
      <c r="A69" s="10" t="n"/>
    </row>
    <row r="70">
      <c r="A70" s="10" t="n"/>
    </row>
  </sheetData>
  <pageMargins left="0.7" right="0.7" top="0.75" bottom="0.75" header="0.3" footer="0.3"/>
  <pageSetup orientation="portrait" paperSize="9" scale="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2009-02-14T12:31:57Z</dcterms:created>
  <dcterms:modified xsi:type="dcterms:W3CDTF">2026-06-11T10:25:18Z</dcterms:modified>
  <cp:lastPrinted>2025-03-01T08:19:50Z</cp:lastPrinted>
</cp:coreProperties>
</file>